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tgt-my.sharepoint.com/personal/mrrodasg_sat_gob_gt/Documents/1. Unidad de Tecnología/2. Reportes UTS/2025/Portal Sat/Actividad 2/"/>
    </mc:Choice>
  </mc:AlternateContent>
  <xr:revisionPtr revIDLastSave="10564" documentId="13_ncr:1_{A4E8607F-E51C-47CE-AA36-C2DFBD38CB57}" xr6:coauthVersionLast="47" xr6:coauthVersionMax="47" xr10:uidLastSave="{752781E6-C220-41DA-8CDD-7092036E8FA9}"/>
  <bookViews>
    <workbookView xWindow="9510" yWindow="-90" windowWidth="19380" windowHeight="10260" tabRatio="811" activeTab="3" xr2:uid="{00000000-000D-0000-FFFF-FFFF00000000}"/>
  </bookViews>
  <sheets>
    <sheet name="Resumen" sheetId="12" r:id="rId1"/>
    <sheet name="Calidad" sheetId="13" state="hidden" r:id="rId2"/>
    <sheet name="NIT sin Obligaciones" sheetId="2" r:id="rId3"/>
    <sheet name="Pequeños Contribuyentes" sheetId="19" r:id="rId4"/>
    <sheet name="Contribuyente General" sheetId="16" r:id="rId5"/>
    <sheet name="Contribuyentes Especiales" sheetId="5" r:id="rId6"/>
    <sheet name="Importadores y Exportadores" sheetId="17" r:id="rId7"/>
    <sheet name="Exentos" sheetId="22" r:id="rId8"/>
    <sheet name="Terceras Personas" sheetId="20" r:id="rId9"/>
    <sheet name="Auxiliares Función Pública" sheetId="21" r:id="rId10"/>
    <sheet name="Entidades del Estado" sheetId="18" r:id="rId11"/>
  </sheets>
  <definedNames>
    <definedName name="_xlnm._FilterDatabase" localSheetId="3" hidden="1">'Pequeños Contribuyentes'!$B$8:$F$48</definedName>
    <definedName name="DatosExternos_1" localSheetId="3" hidden="1">'Pequeños Contribuyentes'!$B$8:$F$8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9" l="1"/>
  <c r="D4" i="19" s="1"/>
  <c r="E7" i="19"/>
  <c r="E4" i="19" s="1"/>
  <c r="F7" i="19"/>
  <c r="F4" i="19" s="1"/>
  <c r="H17" i="12"/>
  <c r="I17" i="12"/>
  <c r="J17" i="12"/>
  <c r="K17" i="12"/>
  <c r="L17" i="12"/>
  <c r="H13" i="12"/>
  <c r="I13" i="12"/>
  <c r="J13" i="12"/>
  <c r="H15" i="12"/>
  <c r="G18" i="12"/>
  <c r="E7" i="16"/>
  <c r="E8" i="17"/>
  <c r="F8" i="17"/>
  <c r="H10" i="20"/>
  <c r="E10" i="20"/>
  <c r="F10" i="20"/>
  <c r="G10" i="20"/>
  <c r="E10" i="21"/>
  <c r="F10" i="21"/>
  <c r="G10" i="21"/>
  <c r="H10" i="21"/>
  <c r="I10" i="21"/>
  <c r="J10" i="21"/>
  <c r="K10" i="21"/>
  <c r="L10" i="21"/>
  <c r="C10" i="20"/>
  <c r="D10" i="20"/>
  <c r="E25" i="22"/>
  <c r="F25" i="22"/>
  <c r="G25" i="22"/>
  <c r="H25" i="22"/>
  <c r="D25" i="22"/>
  <c r="D3" i="5"/>
  <c r="E4" i="5"/>
  <c r="D4" i="5"/>
  <c r="C5" i="18"/>
  <c r="D3" i="18" s="1"/>
  <c r="D3" i="16"/>
  <c r="E4" i="16"/>
  <c r="D4" i="16"/>
  <c r="D7" i="16"/>
  <c r="C7" i="16"/>
  <c r="P15" i="12"/>
  <c r="J15" i="12"/>
  <c r="K15" i="12"/>
  <c r="D4" i="22"/>
  <c r="D3" i="17"/>
  <c r="E4" i="17"/>
  <c r="F4" i="17"/>
  <c r="D4" i="17"/>
  <c r="G20" i="12"/>
  <c r="G14" i="12"/>
  <c r="G8" i="12"/>
  <c r="D5" i="16"/>
  <c r="I9" i="12"/>
  <c r="H9" i="12"/>
  <c r="D5" i="18"/>
  <c r="H21" i="12" s="1"/>
  <c r="E5" i="18"/>
  <c r="I21" i="12" s="1"/>
  <c r="F5" i="18"/>
  <c r="J21" i="12" s="1"/>
  <c r="G5" i="18"/>
  <c r="K21" i="12" s="1"/>
  <c r="L19" i="12"/>
  <c r="K19" i="12"/>
  <c r="J19" i="12"/>
  <c r="I19" i="12"/>
  <c r="H19" i="12"/>
  <c r="C25" i="22"/>
  <c r="C10" i="21"/>
  <c r="D10" i="21"/>
  <c r="I15" i="12"/>
  <c r="L15" i="12"/>
  <c r="M15" i="12"/>
  <c r="N15" i="12"/>
  <c r="O15" i="12"/>
  <c r="D3" i="20"/>
  <c r="G16" i="12" s="1"/>
  <c r="D8" i="17"/>
  <c r="C8" i="17"/>
  <c r="F7" i="17"/>
  <c r="D6" i="5"/>
  <c r="E6" i="5"/>
  <c r="C6" i="5"/>
  <c r="D3" i="19" l="1"/>
  <c r="G6" i="12" s="1"/>
  <c r="I7" i="12"/>
  <c r="J7" i="12"/>
  <c r="H7" i="12"/>
  <c r="G5" i="12"/>
  <c r="C5" i="2"/>
  <c r="D3" i="2" s="1"/>
  <c r="I11" i="12"/>
  <c r="H11" i="12"/>
</calcChain>
</file>

<file path=xl/sharedStrings.xml><?xml version="1.0" encoding="utf-8"?>
<sst xmlns="http://schemas.openxmlformats.org/spreadsheetml/2006/main" count="2324" uniqueCount="428">
  <si>
    <t>No.</t>
  </si>
  <si>
    <t>Grupo</t>
  </si>
  <si>
    <t>Cantidad Temas</t>
  </si>
  <si>
    <t>Categoria2</t>
  </si>
  <si>
    <t>Categoria3</t>
  </si>
  <si>
    <t>Categoria4</t>
  </si>
  <si>
    <t>Categoria5</t>
  </si>
  <si>
    <t>Categoria6</t>
  </si>
  <si>
    <t>Categoria7</t>
  </si>
  <si>
    <t>Categoria8</t>
  </si>
  <si>
    <t>Categoria9</t>
  </si>
  <si>
    <t>NIT sin Obligaciones</t>
  </si>
  <si>
    <t>Pequeños Contribuyentes</t>
  </si>
  <si>
    <t>Pequeño Contribuyente</t>
  </si>
  <si>
    <t>Primario</t>
  </si>
  <si>
    <t>Pecuario</t>
  </si>
  <si>
    <t>Contribuyente General</t>
  </si>
  <si>
    <t>Rep. Legales</t>
  </si>
  <si>
    <t>Contribuyentes Especiales</t>
  </si>
  <si>
    <t>Medianos</t>
  </si>
  <si>
    <t>Grandes</t>
  </si>
  <si>
    <t>Importadores y Exportadores</t>
  </si>
  <si>
    <t>Importadores</t>
  </si>
  <si>
    <t>OEA</t>
  </si>
  <si>
    <t>Exportadores</t>
  </si>
  <si>
    <t>Exentos</t>
  </si>
  <si>
    <t>Constitucionales</t>
  </si>
  <si>
    <t>No Lucrativos</t>
  </si>
  <si>
    <t>Decreto</t>
  </si>
  <si>
    <t>ZOLIC</t>
  </si>
  <si>
    <t>Municipalidades</t>
  </si>
  <si>
    <t>Terceras Personas</t>
  </si>
  <si>
    <t>Gestores Tributarios</t>
  </si>
  <si>
    <t>Auxiliar Tributario</t>
  </si>
  <si>
    <t>Abogados y Notarios</t>
  </si>
  <si>
    <t>Peritos Contadores</t>
  </si>
  <si>
    <t>Auditores</t>
  </si>
  <si>
    <t>Auxiliares de la Función Públic</t>
  </si>
  <si>
    <t>Courier</t>
  </si>
  <si>
    <t>Consolidadores y Desconsolidadores de Carga</t>
  </si>
  <si>
    <t>Almacenes Fiscales</t>
  </si>
  <si>
    <t>Almacenadoras</t>
  </si>
  <si>
    <t>Depósitos Aduaneros</t>
  </si>
  <si>
    <t>ZDEEP</t>
  </si>
  <si>
    <t>Agentes Aduaneros</t>
  </si>
  <si>
    <t>Transportistas</t>
  </si>
  <si>
    <t>Apoderado Especial Aduanero</t>
  </si>
  <si>
    <t>Entidades del Estado</t>
  </si>
  <si>
    <t>Organismo Judicial</t>
  </si>
  <si>
    <t>Ministerio Público</t>
  </si>
  <si>
    <t>SENABED / CONABED</t>
  </si>
  <si>
    <t>PDH</t>
  </si>
  <si>
    <t>Informacion Clasificada</t>
  </si>
  <si>
    <t>Informacion Contactos</t>
  </si>
  <si>
    <t xml:space="preserve">    ICT Régimen primarios</t>
  </si>
  <si>
    <t xml:space="preserve">    ICT Régimen pecuario</t>
  </si>
  <si>
    <t>Contribuyentes Inscritos en Régimen General</t>
  </si>
  <si>
    <t xml:space="preserve">    Representantes Legales de Contribuyentes Generales</t>
  </si>
  <si>
    <t xml:space="preserve">    Régimen opcional simplificado</t>
  </si>
  <si>
    <t xml:space="preserve">    Régimen Sobre Utilidades Lucrativas</t>
  </si>
  <si>
    <t xml:space="preserve">    Contribuyentes Especiales Medianos (incluye los Especiales Regionales)</t>
  </si>
  <si>
    <t xml:space="preserve">    Contribuyentes Especiales Grandes (incluye los Especiales Regionales)</t>
  </si>
  <si>
    <t>Asalariados</t>
  </si>
  <si>
    <t>Profesionales liberales</t>
  </si>
  <si>
    <t>Contribuyentes Exentos</t>
  </si>
  <si>
    <t xml:space="preserve">    Centros Educativos</t>
  </si>
  <si>
    <t xml:space="preserve">    Estado y Municipalidades</t>
  </si>
  <si>
    <t xml:space="preserve">    Organizaciones No Gubernamentales (ONG)</t>
  </si>
  <si>
    <t xml:space="preserve">    Organizaciones Padres de Familia (OPF)</t>
  </si>
  <si>
    <t xml:space="preserve">    Cooperativas</t>
  </si>
  <si>
    <t xml:space="preserve">    ZOLIC</t>
  </si>
  <si>
    <t>Terceras Personas Relacionadas con la Tributación</t>
  </si>
  <si>
    <t xml:space="preserve">    Gestores Tributarios</t>
  </si>
  <si>
    <t xml:space="preserve">    Auxiliares Tributarios</t>
  </si>
  <si>
    <t xml:space="preserve">    Abogados y Notarios</t>
  </si>
  <si>
    <t xml:space="preserve">    Peritos Contadores</t>
  </si>
  <si>
    <t xml:space="preserve">    Contadores Públicos y Auditores</t>
  </si>
  <si>
    <t xml:space="preserve">    Importadores</t>
  </si>
  <si>
    <t xml:space="preserve">    Exportadores</t>
  </si>
  <si>
    <t xml:space="preserve">    Operador Económico Autorizado</t>
  </si>
  <si>
    <t>Contribuyentes Bajo Decreto Específico</t>
  </si>
  <si>
    <t xml:space="preserve">    Empresas Maquiladoras (Decreto 29-89)</t>
  </si>
  <si>
    <t xml:space="preserve">    Empresas en Zonas Francas (Decreto 65-89) </t>
  </si>
  <si>
    <t xml:space="preserve">    Empresas en Zonas de Desarrollo Económico Especial Público (ZDEEP)</t>
  </si>
  <si>
    <t>Auxiliares de la Función Pública Aduanera</t>
  </si>
  <si>
    <t xml:space="preserve">    Empresas de Courier (69 según informe de los auxiliares en estado activo)</t>
  </si>
  <si>
    <t xml:space="preserve">    Consolidadoras y Desconsolidadoras de Carga (315)</t>
  </si>
  <si>
    <t xml:space="preserve">    Depósitos Aduaneros (9)</t>
  </si>
  <si>
    <t xml:space="preserve">    Agentes Aduaneros (133)</t>
  </si>
  <si>
    <t xml:space="preserve">    Transportistas (1362)</t>
  </si>
  <si>
    <t xml:space="preserve">    Organismo Judicial</t>
  </si>
  <si>
    <t xml:space="preserve">    Ministerio Público</t>
  </si>
  <si>
    <t xml:space="preserve">    Secretaría Nacional de Bienes en Extinción de Dominio (SENABED) / Consejo Nacional de Bienes en Extinción de Dominio (CONABED)</t>
  </si>
  <si>
    <t xml:space="preserve">    Procuraduría de los Derechos Humanos</t>
  </si>
  <si>
    <t>RESUMEN</t>
  </si>
  <si>
    <t>Total de Páginas consumidas por interesado</t>
  </si>
  <si>
    <t>URL</t>
  </si>
  <si>
    <t>Descripción</t>
  </si>
  <si>
    <t>https://farm3.sat.gob.gt/menu/login.jsf</t>
  </si>
  <si>
    <r>
      <t xml:space="preserve">Agencia Virtual
</t>
    </r>
    <r>
      <rPr>
        <sz val="11"/>
        <color rgb="FF000000"/>
        <rFont val="Aptos Narrow"/>
        <family val="2"/>
      </rPr>
      <t>Para solicitar acceso, ingresar y realizar gestiones en linea, reinicio de contraseña, cambio de correo electrónico.</t>
    </r>
  </si>
  <si>
    <t>https://portal.sat.gob.gt/portal/consulta-de-gestion-del-contribuyente/</t>
  </si>
  <si>
    <r>
      <rPr>
        <b/>
        <sz val="11"/>
        <color rgb="FF000000"/>
        <rFont val="Aptos Narrow"/>
        <family val="2"/>
      </rPr>
      <t xml:space="preserve">Estado de Gestión de Agencia Virtual
</t>
    </r>
    <r>
      <rPr>
        <sz val="11"/>
        <color rgb="FF000000"/>
        <rFont val="Aptos Narrow"/>
        <family val="2"/>
      </rPr>
      <t>Para verificar el estado de la gestión sobre la solicitud de Agencia Virtual, recuperación de contraseña o cambio de correo electrónico</t>
    </r>
  </si>
  <si>
    <t>https://portal.sat.gob.gt/portal/libre-acceso-la-informacion-publica/</t>
  </si>
  <si>
    <r>
      <t xml:space="preserve">Acceso a la Información Pública
</t>
    </r>
    <r>
      <rPr>
        <sz val="11"/>
        <color rgb="FF000000"/>
        <rFont val="Aptos Narrow"/>
        <family val="2"/>
      </rPr>
      <t>Información relacionada para el cumplimiento de la Ley de Información Pública, así como la solicitud en idiomas español, Kaqchikel, Q'eqchi' y K'iche' y la Unidad de SAT que gestiona las solicitudes.</t>
    </r>
  </si>
  <si>
    <t>https://portal.sat.gob.gt/portal/#capacitacion</t>
  </si>
  <si>
    <r>
      <t xml:space="preserve">Capacitaciones
</t>
    </r>
    <r>
      <rPr>
        <sz val="11"/>
        <color rgb="FF000000"/>
        <rFont val="Aptos Narrow"/>
        <family val="2"/>
      </rPr>
      <t>Capacitaciones en diferentes modalidades y  Cultura Tributaria sobre temas relacionados al NIT sin Obligaciones</t>
    </r>
  </si>
  <si>
    <t>https://portal.sat.gob.gt/portal/consulta-de-titulos-qr/</t>
  </si>
  <si>
    <r>
      <rPr>
        <b/>
        <sz val="11"/>
        <color rgb="FF000000"/>
        <rFont val="Aptos Narrow"/>
        <family val="2"/>
      </rPr>
      <t xml:space="preserve">Consulta de Títulos QR
</t>
    </r>
    <r>
      <rPr>
        <sz val="11"/>
        <color rgb="FF000000"/>
        <rFont val="Aptos Narrow"/>
        <family val="2"/>
      </rPr>
      <t>Para verificar Títulos Universitarios escaneando el QR</t>
    </r>
  </si>
  <si>
    <t>https://portal.sat.gob.gt/portal/distintivos-electronicos/</t>
  </si>
  <si>
    <r>
      <rPr>
        <b/>
        <sz val="11"/>
        <color rgb="FF000000"/>
        <rFont val="Aptos Narrow"/>
        <family val="2"/>
        <scheme val="minor"/>
      </rPr>
      <t xml:space="preserve">Distintivos Electrónicos 
(Título de propiedad y Tarjeta de Circulación)
</t>
    </r>
    <r>
      <rPr>
        <sz val="11"/>
        <color rgb="FF000000"/>
        <rFont val="Aptos Narrow"/>
        <family val="2"/>
        <scheme val="minor"/>
      </rPr>
      <t>Requisitos y guias para obtener Tarjeta de Circulación y Certificado de Propiedad de Vehículo de forma electrónica.</t>
    </r>
  </si>
  <si>
    <t>https://portal.sat.gob.gt/portal/efactura/</t>
  </si>
  <si>
    <r>
      <rPr>
        <b/>
        <sz val="11"/>
        <color rgb="FF000000"/>
        <rFont val="Aptos Narrow"/>
        <family val="2"/>
      </rPr>
      <t xml:space="preserve">Factura Electrónica
</t>
    </r>
    <r>
      <rPr>
        <sz val="11"/>
        <color rgb="FF000000"/>
        <rFont val="Aptos Narrow"/>
        <family val="2"/>
      </rPr>
      <t>Todo lo relacionado con la emisión, la documentación técnica, los certificadores y auditores del certificadores del Régimen de Factura Electrónica en Línea.</t>
    </r>
  </si>
  <si>
    <t>https://portal.sat.gob.gt/portal/planilla-iva-fel/</t>
  </si>
  <si>
    <r>
      <t>Planilla IVA-FEL</t>
    </r>
    <r>
      <rPr>
        <sz val="11"/>
        <color rgb="FF000000"/>
        <rFont val="Aptos Narrow"/>
        <family val="2"/>
      </rPr>
      <t xml:space="preserve">
Información sobre los pasos para presentar tu Planilla de IVA – FEL y manual de uso.</t>
    </r>
  </si>
  <si>
    <t>https://portal.sat.gob.gt/portal/sistemas-web/retencioneswebiva/</t>
  </si>
  <si>
    <r>
      <t>Sistema Retenciones Web -IVA-</t>
    </r>
    <r>
      <rPr>
        <sz val="11"/>
        <color rgb="FF000000"/>
        <rFont val="Aptos Narrow"/>
        <family val="2"/>
      </rPr>
      <t xml:space="preserve">
Información sobre el uso de la herramienta, porcentajes de retención, listado de agentes de retención del impuesto y canales de consultas.</t>
    </r>
  </si>
  <si>
    <t>https://portal.sat.gob.gt/portal/solvencia-fiscal/</t>
  </si>
  <si>
    <r>
      <rPr>
        <b/>
        <sz val="11"/>
        <color rgb="FF000000"/>
        <rFont val="Aptos Narrow"/>
        <family val="2"/>
      </rPr>
      <t xml:space="preserve">Solvencia Fiscal
</t>
    </r>
    <r>
      <rPr>
        <sz val="11"/>
        <color rgb="FF000000"/>
        <rFont val="Aptos Narrow"/>
        <family val="2"/>
      </rPr>
      <t>Consultas de la gestión y el pago de la solicitud.</t>
    </r>
  </si>
  <si>
    <t>https://portal.sat.gob.gt/portal/preguntas-frecuentes/cumplimiento-tributario/</t>
  </si>
  <si>
    <r>
      <rPr>
        <b/>
        <sz val="11"/>
        <color rgb="FF000000"/>
        <rFont val="Aptos Narrow"/>
        <family val="2"/>
      </rPr>
      <t xml:space="preserve">Preguntas Frecuentes sobre Cumplimiento Tributario </t>
    </r>
    <r>
      <rPr>
        <sz val="11"/>
        <color rgb="FF000000"/>
        <rFont val="Aptos Narrow"/>
        <family val="2"/>
      </rPr>
      <t xml:space="preserve"> 
Preguntas Frecuentes y respuestas, sobre incumplimientos, ceses de actividades, formularios de pago, emisiones de documentos tributarios, facilidades de pago e impuestos especificos.</t>
    </r>
  </si>
  <si>
    <t>https://portal.sat.gob.gt/portal/preguntas-frecuentes/temas-de-vehiculos/</t>
  </si>
  <si>
    <r>
      <rPr>
        <b/>
        <sz val="11"/>
        <color rgb="FF000000"/>
        <rFont val="Aptos Narrow"/>
        <family val="2"/>
        <scheme val="minor"/>
      </rPr>
      <t xml:space="preserve">Preguntas Frecuentes sobre Vehículos
</t>
    </r>
    <r>
      <rPr>
        <sz val="11"/>
        <color rgb="FF000000"/>
        <rFont val="Aptos Narrow"/>
        <family val="2"/>
        <scheme val="minor"/>
      </rPr>
      <t>Preguntas frecuentes y respuestas sobre vehículos, impuesto de circulación, terceros autorizados y traspaso por notario.</t>
    </r>
  </si>
  <si>
    <t>https://portal.sat.gob.gt/portal/requisitos-tramites-agencias/cita-controlada/</t>
  </si>
  <si>
    <r>
      <rPr>
        <b/>
        <sz val="11"/>
        <color rgb="FF000000"/>
        <rFont val="Aptos Narrow"/>
        <family val="2"/>
      </rPr>
      <t xml:space="preserve">Requisitos para la Atención a través de Cita 
</t>
    </r>
    <r>
      <rPr>
        <sz val="11"/>
        <color rgb="FF000000"/>
        <rFont val="Aptos Narrow"/>
        <family val="2"/>
      </rPr>
      <t>Requisitos, pasos y casos especial para agendar cita</t>
    </r>
  </si>
  <si>
    <t>https://portal.sat.gob.gt/portal/requisitos-de-personas-empresas/#1541621044169-4198d06d-693f</t>
  </si>
  <si>
    <r>
      <rPr>
        <b/>
        <sz val="11"/>
        <color rgb="FF000000"/>
        <rFont val="Aptos Narrow"/>
        <family val="2"/>
      </rPr>
      <t xml:space="preserve">Requisitos para la Actualización RTU
</t>
    </r>
    <r>
      <rPr>
        <sz val="11"/>
        <color rgb="FF000000"/>
        <rFont val="Aptos Narrow"/>
        <family val="2"/>
      </rPr>
      <t>Requisitos sobre actualización de actividad economica, afiliaciones, cooperativa, datos de identificación, domicilio fiscal, entidades del estado, federaciones deportivas, datos de establecimiento, cambio de regimenes, nombramiento o cambio de peritos contadores y representantes legales.</t>
    </r>
  </si>
  <si>
    <t>https://portal.sat.gob.gt/portal/requisitos-de-personas-empresas/#1615485066841-639e67c5-51e3</t>
  </si>
  <si>
    <r>
      <rPr>
        <b/>
        <sz val="11"/>
        <color rgb="FF000000"/>
        <rFont val="Aptos Narrow"/>
        <family val="2"/>
      </rPr>
      <t xml:space="preserve">Requisitos para la Inscripción RTU
</t>
    </r>
    <r>
      <rPr>
        <sz val="11"/>
        <color rgb="FF000000"/>
        <rFont val="Aptos Narrow"/>
        <family val="2"/>
      </rPr>
      <t>Requisitos para la solicitud electronica de NIT, incripción de NIT con y sin obligaciones, inscripción de copropiedad, sociedades, cooperativas, fideicomiso, sindicato, entidad estatal, univerisidad privada, iglesia católica e inscripción de organizaciones no gubernamentales.</t>
    </r>
  </si>
  <si>
    <t>https://portal.sat.gob.gt/portal/requisitos-tramites-agencias/registro-y-habilitacion-de-titulos-para-ejercer-profesion/</t>
  </si>
  <si>
    <r>
      <rPr>
        <b/>
        <sz val="11"/>
        <color rgb="FF000000"/>
        <rFont val="Aptos Narrow"/>
        <family val="2"/>
        <scheme val="minor"/>
      </rPr>
      <t xml:space="preserve">Requisitos para el Registro y Habilitación de Títulos Universitarios
</t>
    </r>
    <r>
      <rPr>
        <sz val="11"/>
        <color rgb="FF000000"/>
        <rFont val="Aptos Narrow"/>
        <family val="2"/>
        <scheme val="minor"/>
      </rPr>
      <t>Requisitos, lista de pasos para el regístro y habilitación de títulos universitarios y montos a cancelar.</t>
    </r>
  </si>
  <si>
    <t>https://portal.sat.gob.gt/portal/requisitos-de-vehiculos/#1541722263760-bed533a1-d75d</t>
  </si>
  <si>
    <r>
      <rPr>
        <b/>
        <sz val="11"/>
        <color rgb="FF000000"/>
        <rFont val="Aptos Narrow"/>
        <family val="2"/>
      </rPr>
      <t xml:space="preserve">Requisitos para la Inscripción de Vehículos
</t>
    </r>
    <r>
      <rPr>
        <sz val="11"/>
        <color rgb="FF000000"/>
        <rFont val="Aptos Narrow"/>
        <family val="2"/>
      </rPr>
      <t>Requisitos para inscribir diferentes vehículos, como la obtención de placas y pago del impuesto sobre circulación como Distribuidor.</t>
    </r>
  </si>
  <si>
    <t>https://portal.sat.gob.gt/portal/requisitos-de-vehiculos/#1541722263997-e0d7cba3-7daf</t>
  </si>
  <si>
    <r>
      <rPr>
        <b/>
        <sz val="11"/>
        <color rgb="FF000000"/>
        <rFont val="Aptos Narrow"/>
        <family val="2"/>
      </rPr>
      <t xml:space="preserve">Requisitos para el Traspaso de Vehículos ante la SAT
</t>
    </r>
    <r>
      <rPr>
        <sz val="11"/>
        <color rgb="FF000000"/>
        <rFont val="Aptos Narrow"/>
        <family val="2"/>
      </rPr>
      <t>Requisitos, listado de pasos y casos especiales, para el traspaso de vehículo en diferentes modalidades.</t>
    </r>
  </si>
  <si>
    <t>https://portal.sat.gob.gt/portal/requisitos-de-vehiculos/#1541722264551-ab829ede-22f8</t>
  </si>
  <si>
    <r>
      <rPr>
        <b/>
        <sz val="11"/>
        <color rgb="FF000000"/>
        <rFont val="Aptos Narrow"/>
        <family val="2"/>
      </rPr>
      <t xml:space="preserve">Requisitos para los Cambios, Rectificaciones o Transformaciones de Vehículos
</t>
    </r>
    <r>
      <rPr>
        <sz val="11"/>
        <color rgb="FF000000"/>
        <rFont val="Aptos Narrow"/>
        <family val="2"/>
      </rPr>
      <t>Requisitos sobre Cambios, Rectificaciones o Transformaciones a los datos de vehículos.</t>
    </r>
  </si>
  <si>
    <t>https://portal.sat.gob.gt/portal/requisitos-de-vehiculos/#1541776381173-61f2f55a-46dc</t>
  </si>
  <si>
    <r>
      <rPr>
        <b/>
        <sz val="11"/>
        <color rgb="FF000000"/>
        <rFont val="Aptos Narrow"/>
        <family val="2"/>
      </rPr>
      <t xml:space="preserve">Requisitos para la Reposiciones con Formularios en Papel
</t>
    </r>
    <r>
      <rPr>
        <sz val="11"/>
        <color rgb="FF000000"/>
        <rFont val="Aptos Narrow"/>
        <family val="2"/>
      </rPr>
      <t>Requisitos para la Emisión de Primer Certificado de Propiedad y Anexo de Reposición; Reposición de Placas de Distribuidor y Formato de Devolución de Placas.</t>
    </r>
  </si>
  <si>
    <t>https://portal.sat.gob.gt/portal/requisitos-de-vehiculos/#1541777125986-97d04375-37ee</t>
  </si>
  <si>
    <r>
      <rPr>
        <b/>
        <sz val="11"/>
        <color rgb="FF000000"/>
        <rFont val="Aptos Narrow"/>
        <family val="2"/>
      </rPr>
      <t xml:space="preserve">Requisitos para la Activación e Inactivación
</t>
    </r>
    <r>
      <rPr>
        <sz val="11"/>
        <color rgb="FF000000"/>
        <rFont val="Aptos Narrow"/>
        <family val="2"/>
      </rPr>
      <t>Requisitos para activar e inactivar vehículos.</t>
    </r>
  </si>
  <si>
    <t>https://portal.sat.gob.gt/portal/requisitos-de-vehiculos/#1662393570133-d90819b2-32d3</t>
  </si>
  <si>
    <r>
      <rPr>
        <b/>
        <sz val="11"/>
        <color rgb="FF000000"/>
        <rFont val="Aptos Narrow"/>
        <family val="2"/>
      </rPr>
      <t xml:space="preserve">Requisitos para el Cambio de Placas Temporales
</t>
    </r>
    <r>
      <rPr>
        <sz val="11"/>
        <color rgb="FF000000"/>
        <rFont val="Aptos Narrow"/>
        <family val="2"/>
      </rPr>
      <t>Requisitos para el cambio de placa temporal del vehículo.</t>
    </r>
  </si>
  <si>
    <t>https://portal.sat.gob.gt/portal/libro-electronico-tributario/pequeno-contribuyente/</t>
  </si>
  <si>
    <t>Libro Electrónico Tributario
Pequeño Contribuyente</t>
  </si>
  <si>
    <t>PEQUEÑO CONTRIBUYENTE</t>
  </si>
  <si>
    <t>PRIMARIO</t>
  </si>
  <si>
    <t>PECUARIOS</t>
  </si>
  <si>
    <t>Cantidad de páginas que consumen por igual todos los interesados</t>
  </si>
  <si>
    <t>No</t>
  </si>
  <si>
    <t>SI</t>
  </si>
  <si>
    <r>
      <rPr>
        <b/>
        <sz val="11"/>
        <color rgb="FF000000"/>
        <rFont val="Aptos Narrow"/>
        <family val="2"/>
      </rPr>
      <t xml:space="preserve">Agencia Virtual
</t>
    </r>
    <r>
      <rPr>
        <sz val="11"/>
        <color rgb="FF000000"/>
        <rFont val="Aptos Narrow"/>
        <family val="2"/>
      </rPr>
      <t>Para solicitar acceso, ingresar y realizar gestiones en linea, reinicio de contraseña, cambio de correo electrónico.</t>
    </r>
  </si>
  <si>
    <r>
      <rPr>
        <b/>
        <sz val="11"/>
        <color rgb="FF000000"/>
        <rFont val="Aptos Narrow"/>
        <family val="2"/>
      </rPr>
      <t xml:space="preserve">Acceso a la Información Pública
</t>
    </r>
    <r>
      <rPr>
        <sz val="11"/>
        <color rgb="FF000000"/>
        <rFont val="Aptos Narrow"/>
        <family val="2"/>
      </rPr>
      <t>Información relacionada para el cumplimiento de la Ley de Información Pública, así como la solicitud en idiomas español, Kaqchikel, Q'eqchi' y K'iche' y la Unidad de SAT que gestiona las solicitudes.</t>
    </r>
  </si>
  <si>
    <t>https://portal.sat.gob.gt/portal/tablas-y-acuerdos-vehiculos/</t>
  </si>
  <si>
    <r>
      <t xml:space="preserve">Acuerdos y Tablas de Valores de Vehículos
</t>
    </r>
    <r>
      <rPr>
        <sz val="11"/>
        <color rgb="FF000000"/>
        <rFont val="Aptos Narrow"/>
        <family val="2"/>
        <scheme val="minor"/>
      </rPr>
      <t>Información relacionada a tablas y acuerdos de valores imponibles del Impuesto al Valor Agregado para la importación de vehículos.</t>
    </r>
  </si>
  <si>
    <t>https://portal.sat.gob.gt/portal/sistemas-web/asistehospitalesweb/</t>
  </si>
  <si>
    <r>
      <rPr>
        <b/>
        <sz val="11"/>
        <color rgb="FF000000"/>
        <rFont val="Aptos Narrow"/>
        <family val="2"/>
      </rPr>
      <t xml:space="preserve">Asiste Hospitales Web
</t>
    </r>
    <r>
      <rPr>
        <sz val="11"/>
        <color rgb="FF000000"/>
        <rFont val="Aptos Narrow"/>
        <family val="2"/>
      </rPr>
      <t>Información sobre el sistema para registrar los pagos a profesionales que brindan asistencias médicas en  instituciónes, de parte de terceros.</t>
    </r>
  </si>
  <si>
    <t>https://portal.sat.gob.gt/portal/autoliquidacion/</t>
  </si>
  <si>
    <r>
      <rPr>
        <b/>
        <sz val="11"/>
        <color rgb="FF000000"/>
        <rFont val="Aptos Narrow"/>
        <family val="2"/>
      </rPr>
      <t xml:space="preserve">Autoliquidación
</t>
    </r>
    <r>
      <rPr>
        <sz val="11"/>
        <color rgb="FF000000"/>
        <rFont val="Aptos Narrow"/>
        <family val="2"/>
      </rPr>
      <t>Cálculo de las sanciones a pagar por presentación y pago extemporáneo o rectificaciones.</t>
    </r>
  </si>
  <si>
    <r>
      <rPr>
        <b/>
        <sz val="11"/>
        <color rgb="FF000000"/>
        <rFont val="Aptos Narrow"/>
        <family val="2"/>
      </rPr>
      <t xml:space="preserve">Capacitaciones
</t>
    </r>
    <r>
      <rPr>
        <sz val="11"/>
        <color rgb="FF000000"/>
        <rFont val="Aptos Narrow"/>
        <family val="2"/>
      </rPr>
      <t>Capacitaciones en diferentes modalidades y  Cultura Tributaria sobre temas relacionados a Pequeño Contribuyente.</t>
    </r>
  </si>
  <si>
    <t>https://portal.sat.gob.gt/portal/consulta-estado-de-cita/</t>
  </si>
  <si>
    <r>
      <rPr>
        <b/>
        <sz val="11"/>
        <color rgb="FF000000"/>
        <rFont val="Aptos Narrow"/>
        <family val="2"/>
      </rPr>
      <t xml:space="preserve">Consulta estado de cita
</t>
    </r>
    <r>
      <rPr>
        <sz val="11"/>
        <color rgb="FF000000"/>
        <rFont val="Aptos Narrow"/>
        <family val="2"/>
      </rPr>
      <t>Realizar la verificación por NIT, Número de Cita o CUI/Pasaporte de tu cita</t>
    </r>
  </si>
  <si>
    <t>https://portal.sat.gob.gt/portal/consulta-movimiento-convenio/</t>
  </si>
  <si>
    <r>
      <t>Consulta Facilidades de Pago</t>
    </r>
    <r>
      <rPr>
        <sz val="11"/>
        <color rgb="FF000000"/>
        <rFont val="Aptos Narrow"/>
        <family val="2"/>
      </rPr>
      <t xml:space="preserve">
Información sobre requisitos, consultas movimiento convenio y preguntas frecuentes.</t>
    </r>
  </si>
  <si>
    <t>https://portal.sat.gob.gt/portal/retenciones-del-iva-consulta-de-constancias-de-retencion-del-iva-recibidas/</t>
  </si>
  <si>
    <r>
      <rPr>
        <b/>
        <sz val="11"/>
        <color rgb="FF000000"/>
        <rFont val="Aptos Narrow"/>
        <family val="2"/>
        <scheme val="minor"/>
      </rPr>
      <t xml:space="preserve">Consulta de constancias de retención del IVA e ISR recibidas
</t>
    </r>
    <r>
      <rPr>
        <sz val="11"/>
        <color rgb="FF000000"/>
        <rFont val="Aptos Narrow"/>
        <family val="2"/>
        <scheme val="minor"/>
      </rPr>
      <t>Consulta para verificar la validez de las Constancias de Retención de IVA e ISR emitidas por el Agente Retenedor.</t>
    </r>
  </si>
  <si>
    <t>https://portal.sat.gob.gt/portal/declaracion-valor-cero/</t>
  </si>
  <si>
    <r>
      <rPr>
        <b/>
        <sz val="11"/>
        <color rgb="FF000000"/>
        <rFont val="Aptos Narrow"/>
        <family val="2"/>
      </rPr>
      <t xml:space="preserve">Declaración Valor Cero
</t>
    </r>
    <r>
      <rPr>
        <sz val="11"/>
        <color rgb="FF000000"/>
        <rFont val="Aptos Narrow"/>
        <family val="2"/>
      </rPr>
      <t>Para resentar la declaración, en donde no se registraron movimientos en el mes</t>
    </r>
  </si>
  <si>
    <t>https://portal.sat.gob.gt/portal/forma-de-pago/</t>
  </si>
  <si>
    <r>
      <rPr>
        <b/>
        <sz val="11"/>
        <color rgb="FF000000"/>
        <rFont val="Aptos Narrow"/>
        <family val="2"/>
      </rPr>
      <t xml:space="preserve">Formas de Pago
</t>
    </r>
    <r>
      <rPr>
        <sz val="11"/>
        <color rgb="FF000000"/>
        <rFont val="Aptos Narrow"/>
        <family val="2"/>
      </rPr>
      <t>Información sobre los bancos y otras formas de pago para realizar los mismos a SAT.</t>
    </r>
  </si>
  <si>
    <t>https://portal.sat.gob.gt/portal/biblioteca-en-linea-sat/legislacion/</t>
  </si>
  <si>
    <r>
      <rPr>
        <b/>
        <sz val="11"/>
        <color rgb="FF000000"/>
        <rFont val="Aptos Narrow"/>
        <family val="2"/>
        <scheme val="minor"/>
      </rPr>
      <t xml:space="preserve">Legislación 
</t>
    </r>
    <r>
      <rPr>
        <sz val="11"/>
        <color rgb="FF000000"/>
        <rFont val="Aptos Narrow"/>
        <family val="2"/>
        <scheme val="minor"/>
      </rPr>
      <t>Documentos categorizados por Legislación Tibutaria,Legislación  Aduanera y Normativa SAT</t>
    </r>
  </si>
  <si>
    <t>https://portal.sat.gob.gt/portal/libro-electronico-tributario/</t>
  </si>
  <si>
    <r>
      <t>Libro Electrónico Tributario</t>
    </r>
    <r>
      <rPr>
        <sz val="11"/>
        <color rgb="FF000000"/>
        <rFont val="Aptos Narrow"/>
        <family val="2"/>
      </rPr>
      <t xml:space="preserve">
Información para contribuyentes afiliados al IVA, facilitando el registro en su libro de Compras y Ventas.</t>
    </r>
  </si>
  <si>
    <t>https://portal.sat.gob.gt/portal/razon-electronica-timbres-fiscales/</t>
  </si>
  <si>
    <r>
      <t>Razón Electrónica Timbres Fiscales</t>
    </r>
    <r>
      <rPr>
        <sz val="11"/>
        <color rgb="FF000000"/>
        <rFont val="Aptos Narrow"/>
        <family val="2"/>
      </rPr>
      <t xml:space="preserve">
Consulta del pago del Impuesto de Timbres Fiscales y Tarifa Específica</t>
    </r>
  </si>
  <si>
    <r>
      <t>Sistema Retenciones Web -IVA-</t>
    </r>
    <r>
      <rPr>
        <sz val="11"/>
        <color rgb="FF000000"/>
        <rFont val="Aptos Narrow"/>
        <family val="2"/>
      </rPr>
      <t xml:space="preserve">
Permite a los agentes designados por la SAT retener el impuesto correspondientes</t>
    </r>
  </si>
  <si>
    <t>https://portal.sat.gob.gt/portal/solicitud-electronica-de-nit/</t>
  </si>
  <si>
    <r>
      <rPr>
        <b/>
        <sz val="11"/>
        <color rgb="FF000000"/>
        <rFont val="Aptos Narrow"/>
        <family val="2"/>
      </rPr>
      <t xml:space="preserve">Solicitar NIT
</t>
    </r>
    <r>
      <rPr>
        <sz val="11"/>
        <color rgb="FF000000"/>
        <rFont val="Aptos Narrow"/>
        <family val="2"/>
      </rPr>
      <t>Proceso para el registro como nuevo contribuyente en la Superintendencia de Administración Tributaria.</t>
    </r>
  </si>
  <si>
    <t>https://portal.sat.gob.gt/portal/requisitos-de-personas-empresas/#1541695409144-7032754f-f93a</t>
  </si>
  <si>
    <r>
      <rPr>
        <b/>
        <sz val="11"/>
        <color rgb="FF000000"/>
        <rFont val="Aptos Narrow"/>
        <family val="2"/>
      </rPr>
      <t xml:space="preserve">Requisitos para las Autorizaciones y Habilitaciones
</t>
    </r>
    <r>
      <rPr>
        <sz val="11"/>
        <color rgb="FF000000"/>
        <rFont val="Aptos Narrow"/>
        <family val="2"/>
      </rPr>
      <t>Requisitos, listado de pasos y casos especiales; sobre autorizaciones, habilitaciones y registros de libros, documentos, formularios  y  títulos universitarios.</t>
    </r>
  </si>
  <si>
    <t>https://portal.sat.gob.gt/portal/requisitos-de-personas-empresas/#1541718919329-b32e6928-0a05</t>
  </si>
  <si>
    <r>
      <rPr>
        <b/>
        <sz val="11"/>
        <color rgb="FF000000"/>
        <rFont val="Aptos Narrow"/>
        <family val="2"/>
        <scheme val="minor"/>
      </rPr>
      <t xml:space="preserve">Requisitos para Tercera Persona Autorizada en Gestiones de RTU
</t>
    </r>
    <r>
      <rPr>
        <sz val="11"/>
        <color rgb="FF000000"/>
        <rFont val="Aptos Narrow"/>
        <family val="2"/>
        <scheme val="minor"/>
      </rPr>
      <t>Requisitos, lista de pasos y casos especiales; para tercera persona autorizada por el contribuyente para realizar gestiones de RTU ante la SAT.</t>
    </r>
  </si>
  <si>
    <t>https://portal.sat.gob.gt/portal/requisitos-de-personas-empresas/#1541721863086-9194f94d-dd70</t>
  </si>
  <si>
    <r>
      <rPr>
        <b/>
        <sz val="11"/>
        <color rgb="FF000000"/>
        <rFont val="Aptos Narrow"/>
        <family val="2"/>
        <scheme val="minor"/>
      </rPr>
      <t xml:space="preserve">Requisitos de Correcciones por errores en Declaraciones
</t>
    </r>
    <r>
      <rPr>
        <sz val="11"/>
        <color rgb="FF000000"/>
        <rFont val="Aptos Narrow"/>
        <family val="2"/>
        <scheme val="minor"/>
      </rPr>
      <t>Requisitos, listado de pasos y casos especiales, de correcciones en la casilla rectificativa, del periodo y NIT en el formulario de Declaraguate.</t>
    </r>
  </si>
  <si>
    <t>https://portal.sat.gob.gt/portal/requisitos-de-personas-empresas/#1544737166940-7b221c49-789f</t>
  </si>
  <si>
    <r>
      <rPr>
        <b/>
        <sz val="11"/>
        <color rgb="FF000000"/>
        <rFont val="Aptos Narrow"/>
        <family val="2"/>
        <scheme val="minor"/>
      </rPr>
      <t xml:space="preserve">Requisitos para Operaciones a través de la Agencia Virtual
</t>
    </r>
    <r>
      <rPr>
        <sz val="11"/>
        <color rgb="FF000000"/>
        <rFont val="Aptos Narrow"/>
        <family val="2"/>
        <scheme val="minor"/>
      </rPr>
      <t>Información de gestiones que se realizan en la Agención Virtual.</t>
    </r>
  </si>
  <si>
    <t>https://portal.sat.gob.gt/portal/requisitos-de-personas-empresas/#1544742215300-58052f9f-10b1</t>
  </si>
  <si>
    <r>
      <rPr>
        <b/>
        <sz val="11"/>
        <color rgb="FF000000"/>
        <rFont val="Aptos Narrow"/>
        <family val="2"/>
      </rPr>
      <t xml:space="preserve">Requisitos para la Gestión de Devolución de Pagos Indebidos
</t>
    </r>
    <r>
      <rPr>
        <sz val="11"/>
        <color rgb="FF000000"/>
        <rFont val="Aptos Narrow"/>
        <family val="2"/>
      </rPr>
      <t>Requisitos, listado de pasos, y casos especiales; para la Devolución, Retención o Compensación de Impuestos en diferentes modalidades.</t>
    </r>
  </si>
  <si>
    <t>https://portal.sat.gob.gt/portal/requisitos-de-personas-empresas/#1606494573178-22f9effd-91cc</t>
  </si>
  <si>
    <r>
      <rPr>
        <b/>
        <sz val="11"/>
        <color rgb="FF000000"/>
        <rFont val="Aptos Narrow"/>
        <family val="2"/>
      </rPr>
      <t xml:space="preserve">Requisitos para Facilidades de Pago
</t>
    </r>
    <r>
      <rPr>
        <sz val="11"/>
        <color rgb="FF000000"/>
        <rFont val="Aptos Narrow"/>
        <family val="2"/>
      </rPr>
      <t>Requisitos de Facilidades de Pago en línea o presencial.</t>
    </r>
  </si>
  <si>
    <t>https://portal.sat.gob.gt/portal/requisitos-tramites-agencias/traspaso-electronico-de-vehiculos-por-notario-con-anexo-del-certificado-de-propiedad-emitido-via-declaraguate-en-agencia-virtual/</t>
  </si>
  <si>
    <r>
      <rPr>
        <b/>
        <sz val="11"/>
        <color rgb="FF000000"/>
        <rFont val="Aptos Narrow"/>
        <family val="2"/>
      </rPr>
      <t xml:space="preserve">Requisitos para el Traspaso Electrónico de Vehículos por Notario
</t>
    </r>
    <r>
      <rPr>
        <sz val="11"/>
        <color rgb="FF000000"/>
        <rFont val="Aptos Narrow"/>
        <family val="2"/>
      </rPr>
      <t>Requisitos, lista de pasos y casos especiales, para el traspaso electrónico de vehículos por notario con anexo del certificado de propiedad emitido vía declaraguate en agencia virtual.</t>
    </r>
  </si>
  <si>
    <t>https://portal.sat.gob.gt/portal/requisitos-de-vehiculos/#1541722264271-487e21fd-d904</t>
  </si>
  <si>
    <r>
      <rPr>
        <b/>
        <sz val="11"/>
        <color rgb="FF000000"/>
        <rFont val="Aptos Narrow"/>
        <family val="2"/>
      </rPr>
      <t xml:space="preserve">Requisitos para la Reposición de Distintivos (Certificado de Propiedad, Tarjeta y Placas de Circulación) con Formularios Electrónicos (Declaraguate)
</t>
    </r>
    <r>
      <rPr>
        <sz val="11"/>
        <color rgb="FF000000"/>
        <rFont val="Aptos Narrow"/>
        <family val="2"/>
      </rPr>
      <t>Requisitos para la reposición Certificados de Propiedad, Tarjeta y Placas de Circulación con Formularios de Declaraguate como contribuyente general o Distribuidor.</t>
    </r>
  </si>
  <si>
    <t>https://portal.sat.gob.gt/portal/requisitos-de-vehiculos/#1642106578727-c83d17c4-34da</t>
  </si>
  <si>
    <r>
      <rPr>
        <b/>
        <sz val="11"/>
        <color rgb="FF000000"/>
        <rFont val="Aptos Narrow"/>
        <family val="2"/>
      </rPr>
      <t xml:space="preserve">Requisitos para el Registro de Marca y Código de Fabricante
</t>
    </r>
    <r>
      <rPr>
        <sz val="11"/>
        <color rgb="FF000000"/>
        <rFont val="Aptos Narrow"/>
        <family val="2"/>
      </rPr>
      <t>Requisitos listado de pasos y casos especiales; para el Registro de Marca y Código de Fabricante del vehículo.</t>
    </r>
  </si>
  <si>
    <t>https://portal.sat.gob.gt/portal/requisitos-tramites-agencias/actualizacion-de-distintivos/</t>
  </si>
  <si>
    <r>
      <rPr>
        <b/>
        <sz val="11"/>
        <color rgb="FF000000"/>
        <rFont val="Aptos Narrow"/>
        <family val="2"/>
        <scheme val="minor"/>
      </rPr>
      <t xml:space="preserve">Requisitos para el Cambio de Placas Temporales
</t>
    </r>
    <r>
      <rPr>
        <sz val="11"/>
        <color rgb="FF000000"/>
        <rFont val="Aptos Narrow"/>
        <family val="2"/>
        <scheme val="minor"/>
      </rPr>
      <t>Requisitos para el cambio de placa temporal del vehículo.</t>
    </r>
  </si>
  <si>
    <t>https://portal.sat.gob.gt/portal/requisitos-tramites-agencias/despacho-de-distintivos-de-control-de-productos-importados-a-los-fabricantes-o-importadores-domiciliados-en-el-pais-y-a-las-personas-individuales-y-juridicas/</t>
  </si>
  <si>
    <r>
      <rPr>
        <b/>
        <sz val="11"/>
        <color rgb="FF000000"/>
        <rFont val="Aptos Narrow"/>
        <family val="2"/>
        <scheme val="minor"/>
      </rPr>
      <t xml:space="preserve">Requisitos para el Despacho de distintivos de control de productos importados a los fabricantes o importadores domiciliados en el país y a las personas individuales y jurídicas que no sean fabricantes ni importadores
</t>
    </r>
    <r>
      <rPr>
        <sz val="11"/>
        <color rgb="FF000000"/>
        <rFont val="Aptos Narrow"/>
        <family val="2"/>
        <scheme val="minor"/>
      </rPr>
      <t>Requisitos y listado de pasos.</t>
    </r>
  </si>
  <si>
    <t>Total de Páginas consumidas por grupos de interés</t>
  </si>
  <si>
    <t>Cantidad de páginas que consumen por igual todos los grupos de interés</t>
  </si>
  <si>
    <t>Cantidad de páginas que consumen individualmente 1/2  de los grupos de interés</t>
  </si>
  <si>
    <r>
      <rPr>
        <b/>
        <sz val="11"/>
        <color rgb="FF000000"/>
        <rFont val="Aptos Narrow"/>
        <family val="2"/>
        <scheme val="minor"/>
      </rPr>
      <t xml:space="preserve">Autoliquidación
</t>
    </r>
    <r>
      <rPr>
        <sz val="11"/>
        <color rgb="FF000000"/>
        <rFont val="Aptos Narrow"/>
        <family val="2"/>
        <scheme val="minor"/>
      </rPr>
      <t>Cálculo de las sanciones a pagar por presentación y pago extemporáneo o rectificaciones.</t>
    </r>
  </si>
  <si>
    <r>
      <rPr>
        <b/>
        <sz val="11"/>
        <color rgb="FF000000"/>
        <rFont val="Aptos Narrow"/>
        <family val="2"/>
      </rPr>
      <t xml:space="preserve">Capacitaciones
</t>
    </r>
    <r>
      <rPr>
        <sz val="11"/>
        <color rgb="FF000000"/>
        <rFont val="Aptos Narrow"/>
        <family val="2"/>
      </rPr>
      <t>Capacitaciones en diferentes modalidades y  Cultura Tributaria sobre temas relacionados a Contribuyente General.</t>
    </r>
  </si>
  <si>
    <r>
      <rPr>
        <b/>
        <sz val="11"/>
        <color rgb="FF000000"/>
        <rFont val="Aptos Narrow"/>
        <family val="2"/>
        <scheme val="minor"/>
      </rPr>
      <t xml:space="preserve">Consulta estado de cita
</t>
    </r>
    <r>
      <rPr>
        <sz val="11"/>
        <color rgb="FF000000"/>
        <rFont val="Aptos Narrow"/>
        <family val="2"/>
        <scheme val="minor"/>
      </rPr>
      <t>Realizar la verificación por NIT, Número de Cita o CUI/Pasaporte de tu cita</t>
    </r>
  </si>
  <si>
    <t>Consulta de Títulos QR
Para verificar Títulos Universitarios escaneando el QR</t>
  </si>
  <si>
    <r>
      <rPr>
        <b/>
        <sz val="11"/>
        <color rgb="FF000000"/>
        <rFont val="Aptos Narrow"/>
        <family val="2"/>
        <scheme val="minor"/>
      </rPr>
      <t xml:space="preserve">Consulta Facilidades de Pago
</t>
    </r>
    <r>
      <rPr>
        <sz val="11"/>
        <color rgb="FF000000"/>
        <rFont val="Aptos Narrow"/>
        <family val="2"/>
        <scheme val="minor"/>
      </rPr>
      <t>Información sobre requisitos, consultas movimiento convenio y preguntas frecuentes.</t>
    </r>
  </si>
  <si>
    <t>https://portal.sat.gob.gt/portal/emision-constancias-de-adquisicion-de-insumos-y-servicios-cais/</t>
  </si>
  <si>
    <r>
      <rPr>
        <b/>
        <sz val="11"/>
        <color rgb="FF000000"/>
        <rFont val="Aptos Narrow"/>
        <family val="2"/>
        <scheme val="minor"/>
      </rPr>
      <t xml:space="preserve">Emisión Constancias de Adquisición Insumos y Servicios -CAIS-
</t>
    </r>
    <r>
      <rPr>
        <sz val="11"/>
        <color rgb="FF000000"/>
        <rFont val="Aptos Narrow"/>
        <family val="2"/>
        <scheme val="minor"/>
      </rPr>
      <t>Información para contribuyentes (calificado bajo el Decreto No. 29-89) sobre la generación de -CAIS-.</t>
    </r>
  </si>
  <si>
    <t>https://portal.sat.gob.gt/portal/emision-constancias-de-exencion-de-iva-civa/</t>
  </si>
  <si>
    <r>
      <rPr>
        <b/>
        <sz val="11"/>
        <color rgb="FF000000"/>
        <rFont val="Aptos Narrow"/>
        <family val="2"/>
        <scheme val="minor"/>
      </rPr>
      <t xml:space="preserve">Emisión Constancias de Exención de IVA -CIVA-
</t>
    </r>
    <r>
      <rPr>
        <sz val="11"/>
        <color rgb="FF000000"/>
        <rFont val="Aptos Narrow"/>
        <family val="2"/>
        <scheme val="minor"/>
      </rPr>
      <t>Información para que contribuyentes exentos (artículo 8 Ley del IVA) generen -CIVA-.</t>
    </r>
  </si>
  <si>
    <t>https://portal.sat.gob.gt/portal/biblioteca-en-linea-sat/legislacion-aduanera/</t>
  </si>
  <si>
    <r>
      <rPr>
        <b/>
        <sz val="11"/>
        <color rgb="FF000000"/>
        <rFont val="Aptos Narrow"/>
        <family val="2"/>
        <scheme val="minor"/>
      </rPr>
      <t>Legislación Aduanera</t>
    </r>
    <r>
      <rPr>
        <sz val="11"/>
        <color rgb="FF000000"/>
        <rFont val="Aptos Narrow"/>
        <family val="2"/>
        <scheme val="minor"/>
      </rPr>
      <t xml:space="preserve"> 
Información sobre Acuerdos y Resoluciones en materia aduanera</t>
    </r>
  </si>
  <si>
    <t>https://portal.sat.gob.gt/portal/biblioteca-en-linea-sat/legislacion-tributaria/</t>
  </si>
  <si>
    <r>
      <rPr>
        <b/>
        <sz val="11"/>
        <color rgb="FF000000"/>
        <rFont val="Aptos Narrow"/>
        <family val="2"/>
        <scheme val="minor"/>
      </rPr>
      <t xml:space="preserve">Legislación Tributaria
</t>
    </r>
    <r>
      <rPr>
        <sz val="11"/>
        <color rgb="FF000000"/>
        <rFont val="Aptos Narrow"/>
        <family val="2"/>
        <scheme val="minor"/>
      </rPr>
      <t>Información sobre Acuerdos y Resoluciones en materia tributaria</t>
    </r>
  </si>
  <si>
    <r>
      <rPr>
        <b/>
        <sz val="11"/>
        <color rgb="FF000000"/>
        <rFont val="Aptos Narrow"/>
        <family val="2"/>
        <scheme val="minor"/>
      </rPr>
      <t xml:space="preserve">Libro Electrónico Tributario
</t>
    </r>
    <r>
      <rPr>
        <sz val="11"/>
        <color rgb="FF000000"/>
        <rFont val="Aptos Narrow"/>
        <family val="2"/>
        <scheme val="minor"/>
      </rPr>
      <t>Información para contribuyentes afiliados al IVA, facilitando el registro en su libro de Compras y Ventas.</t>
    </r>
  </si>
  <si>
    <r>
      <rPr>
        <b/>
        <sz val="11"/>
        <color rgb="FF000000"/>
        <rFont val="Aptos Narrow"/>
        <family val="2"/>
        <scheme val="minor"/>
      </rPr>
      <t xml:space="preserve">Planilla IVA-FEL
</t>
    </r>
    <r>
      <rPr>
        <sz val="11"/>
        <color rgb="FF000000"/>
        <rFont val="Aptos Narrow"/>
        <family val="2"/>
        <scheme val="minor"/>
      </rPr>
      <t>Información sobre los pasos para presentar tu Planilla de IVA – FEL y manual de uso.</t>
    </r>
  </si>
  <si>
    <r>
      <rPr>
        <b/>
        <sz val="11"/>
        <color rgb="FF000000"/>
        <rFont val="Aptos Narrow"/>
        <family val="2"/>
        <scheme val="minor"/>
      </rPr>
      <t xml:space="preserve">Razón Electrónica Timbres Fiscales
</t>
    </r>
    <r>
      <rPr>
        <sz val="11"/>
        <color rgb="FF000000"/>
        <rFont val="Aptos Narrow"/>
        <family val="2"/>
        <scheme val="minor"/>
      </rPr>
      <t>Consulta del pago del Impuesto de Timbres Fiscales y Tarifa Específica</t>
    </r>
  </si>
  <si>
    <r>
      <rPr>
        <b/>
        <sz val="11"/>
        <color rgb="FF000000"/>
        <rFont val="Aptos Narrow"/>
        <family val="2"/>
        <scheme val="minor"/>
      </rPr>
      <t xml:space="preserve">Sistema Retenciones Web -IVA-
</t>
    </r>
    <r>
      <rPr>
        <sz val="11"/>
        <color rgb="FF000000"/>
        <rFont val="Aptos Narrow"/>
        <family val="2"/>
        <scheme val="minor"/>
      </rPr>
      <t>Información sobre el uso de la herramienta, porcentajes de retención, listado de agentes de retención del impuesto y canales de consultas.</t>
    </r>
  </si>
  <si>
    <t>https://portal.sat.gob.gt/portal/requisitos-de-personas-empresas/#1541715112091-e300506b-54b6</t>
  </si>
  <si>
    <r>
      <rPr>
        <b/>
        <sz val="11"/>
        <color rgb="FF000000"/>
        <rFont val="Aptos Narrow"/>
        <family val="2"/>
        <scheme val="minor"/>
      </rPr>
      <t xml:space="preserve">Requisitos para Abogados y Notarios
</t>
    </r>
    <r>
      <rPr>
        <sz val="11"/>
        <color rgb="FF000000"/>
        <rFont val="Aptos Narrow"/>
        <family val="2"/>
        <scheme val="minor"/>
      </rPr>
      <t>Requisitos, listado de pasos, y casos especiales; para la inscripción/actualización, activación, confirmación de huella y Venta de Especies Fiscales para Abogados y Notarios.</t>
    </r>
  </si>
  <si>
    <t>https://portal.sat.gob.gt/portal/requisitos-de-personas-empresas/#1573597244944-61668ad5-acf7</t>
  </si>
  <si>
    <r>
      <rPr>
        <b/>
        <sz val="11"/>
        <color rgb="FF000000"/>
        <rFont val="Aptos Narrow"/>
        <family val="2"/>
        <scheme val="minor"/>
      </rPr>
      <t xml:space="preserve">Requisitos sobre Formularios Electrónicos Solicitud Dev. C.F. Régimen Especial Electrónico y Régimen General
</t>
    </r>
    <r>
      <rPr>
        <sz val="11"/>
        <color rgb="FF000000"/>
        <rFont val="Aptos Narrow"/>
        <family val="2"/>
        <scheme val="minor"/>
      </rPr>
      <t>Requisitos, listado de pasos, y casos especiales; para los formularios SAT-2125, SAT-2251 y SAT-2390.</t>
    </r>
  </si>
  <si>
    <t>https://portal.sat.gob.gt/portal/biblioteca-en-linea-sat/software/asistelight/</t>
  </si>
  <si>
    <r>
      <rPr>
        <b/>
        <sz val="11"/>
        <color rgb="FF000000"/>
        <rFont val="Aptos Narrow"/>
        <family val="2"/>
        <scheme val="minor"/>
      </rPr>
      <t xml:space="preserve">AsisteLight
</t>
    </r>
    <r>
      <rPr>
        <sz val="11"/>
        <color rgb="FF000000"/>
        <rFont val="Aptos Narrow"/>
        <family val="2"/>
        <scheme val="minor"/>
      </rPr>
      <t>Información relacionada con la herramienta web, descarga y forma de uso.</t>
    </r>
  </si>
  <si>
    <r>
      <rPr>
        <b/>
        <sz val="11"/>
        <color rgb="FF000000"/>
        <rFont val="Aptos Narrow"/>
        <family val="2"/>
        <scheme val="minor"/>
      </rPr>
      <t xml:space="preserve">Autoliquidación
</t>
    </r>
    <r>
      <rPr>
        <sz val="11"/>
        <color rgb="FF000000"/>
        <rFont val="Aptos Narrow"/>
        <family val="2"/>
        <scheme val="minor"/>
      </rPr>
      <t>Cálculo de las sanciones a pagar por presentación y pago extemporáneo o rectificaciones.</t>
    </r>
  </si>
  <si>
    <r>
      <rPr>
        <b/>
        <sz val="11"/>
        <color rgb="FF000000"/>
        <rFont val="Aptos Narrow"/>
        <family val="2"/>
      </rPr>
      <t xml:space="preserve">Capacitaciones
</t>
    </r>
    <r>
      <rPr>
        <sz val="11"/>
        <color rgb="FF000000"/>
        <rFont val="Aptos Narrow"/>
        <family val="2"/>
      </rPr>
      <t>Capacitaciones en diferentes modalidades y  Cultura Tributaria sobre temas relacionados a Contribuyentes Especiales.</t>
    </r>
  </si>
  <si>
    <r>
      <rPr>
        <b/>
        <sz val="11"/>
        <color rgb="FF000000"/>
        <rFont val="Aptos Narrow"/>
        <family val="2"/>
        <scheme val="minor"/>
      </rPr>
      <t>Legislación Aduanera</t>
    </r>
    <r>
      <rPr>
        <sz val="11"/>
        <color rgb="FF000000"/>
        <rFont val="Aptos Narrow"/>
        <family val="2"/>
        <scheme val="minor"/>
      </rPr>
      <t xml:space="preserve"> 
Información sobre Acuerdos y Resoluciones en materia aduanera.</t>
    </r>
  </si>
  <si>
    <r>
      <rPr>
        <b/>
        <sz val="11"/>
        <color rgb="FF000000"/>
        <rFont val="Aptos Narrow"/>
        <family val="2"/>
        <scheme val="minor"/>
      </rPr>
      <t xml:space="preserve">Legislación Tributaria
</t>
    </r>
    <r>
      <rPr>
        <sz val="11"/>
        <color rgb="FF000000"/>
        <rFont val="Aptos Narrow"/>
        <family val="2"/>
        <scheme val="minor"/>
      </rPr>
      <t>Información sobre Acuerdos y Resoluciones en materia tributaria.</t>
    </r>
  </si>
  <si>
    <t>https://portal.sat.gob.gt/portal/precios-de-transferencia/</t>
  </si>
  <si>
    <r>
      <rPr>
        <b/>
        <sz val="11"/>
        <color rgb="FF000000"/>
        <rFont val="Aptos Narrow"/>
        <family val="2"/>
        <scheme val="minor"/>
      </rPr>
      <t xml:space="preserve">Precios de Transferencia
</t>
    </r>
    <r>
      <rPr>
        <sz val="11"/>
        <color rgb="FF000000"/>
        <rFont val="Aptos Narrow"/>
        <family val="2"/>
        <scheme val="minor"/>
      </rPr>
      <t>Información relacionada a la declaración jurada anual del impuesto sobre la renta sobre partes relacionadas, guías técnicas y anexos.</t>
    </r>
  </si>
  <si>
    <t>https://portal.sat.gob.gt/portal/rtu-digital/</t>
  </si>
  <si>
    <r>
      <rPr>
        <b/>
        <sz val="11"/>
        <color rgb="FF000000"/>
        <rFont val="Aptos Narrow"/>
        <family val="2"/>
        <scheme val="minor"/>
      </rPr>
      <t xml:space="preserve">RTU Digital
</t>
    </r>
    <r>
      <rPr>
        <sz val="11"/>
        <color rgb="FF000000"/>
        <rFont val="Aptos Narrow"/>
        <family val="2"/>
        <scheme val="minor"/>
      </rPr>
      <t>Información para realizar la inscripción o solicitud de NIT, actualización de datos y cese de actividades comerciales y/o de servicios.</t>
    </r>
  </si>
  <si>
    <t>https://portal.sat.gob.gt/portal/sistemas-web/retencioneswebisr/</t>
  </si>
  <si>
    <r>
      <rPr>
        <b/>
        <sz val="11"/>
        <color rgb="FF000000"/>
        <rFont val="Aptos Narrow"/>
        <family val="2"/>
        <scheme val="minor"/>
      </rPr>
      <t xml:space="preserve">Sistema Retenciones Web -ISR-
</t>
    </r>
    <r>
      <rPr>
        <sz val="11"/>
        <color rgb="FF000000"/>
        <rFont val="Aptos Narrow"/>
        <family val="2"/>
        <scheme val="minor"/>
      </rPr>
      <t>Información sobre el uso de la herramienta, incorporación, delegación de permisos y manuales de usuario para usuarios del sector público.</t>
    </r>
  </si>
  <si>
    <r>
      <rPr>
        <b/>
        <sz val="11"/>
        <color rgb="FF000000"/>
        <rFont val="Aptos Narrow"/>
        <family val="2"/>
      </rPr>
      <t xml:space="preserve">Sistema Retenciones Web -IVA-
</t>
    </r>
    <r>
      <rPr>
        <sz val="11"/>
        <color rgb="FF000000"/>
        <rFont val="Aptos Narrow"/>
        <family val="2"/>
      </rPr>
      <t>Información sobre el uso de la herramienta, porcentajes de retención, listado de agentes de retención del impuesto y canales de consultas.</t>
    </r>
  </si>
  <si>
    <t>https://portal.sat.gob.gt/portal/tasas-e-intereses/</t>
  </si>
  <si>
    <r>
      <t xml:space="preserve">Tasas e Intereses
</t>
    </r>
    <r>
      <rPr>
        <sz val="11"/>
        <color rgb="FF000000"/>
        <rFont val="Aptos Narrow"/>
        <family val="2"/>
        <scheme val="minor"/>
      </rPr>
      <t>Información relacionada a las tasas de intereses que estipula la Junta Monetaria para cada semestre del año, y la tasa de mora correspondiente.</t>
    </r>
  </si>
  <si>
    <t>https://portal.sat.gob.gt/portal/preguntas-frecuentes/contribuyentes-especiales/</t>
  </si>
  <si>
    <r>
      <rPr>
        <b/>
        <sz val="11"/>
        <color rgb="FF000000"/>
        <rFont val="Aptos Narrow"/>
        <family val="2"/>
        <scheme val="minor"/>
      </rPr>
      <t xml:space="preserve">Preguntas Frecuentes sobre Gestiones de Contribuyentes Especiales
</t>
    </r>
    <r>
      <rPr>
        <sz val="11"/>
        <color rgb="FF000000"/>
        <rFont val="Aptos Narrow"/>
        <family val="2"/>
        <scheme val="minor"/>
      </rPr>
      <t>Preguntas frecuentes y respuestas sobre obligaciones de contribuyentes especiales, calificacion de agentes de retención del IVA, retenciones WEB, retenciones del ISR e IVA, sistema Reten ISR WEB 2, Herramienta informe electrónico de compras y ventas, entre otras.</t>
    </r>
  </si>
  <si>
    <t>https://portal.sat.gob.gt/portal/requisitos-de-personas-empresas/#1541695993129-3a5733fd-bd87</t>
  </si>
  <si>
    <r>
      <rPr>
        <b/>
        <sz val="11"/>
        <color rgb="FF000000"/>
        <rFont val="Aptos Narrow"/>
        <family val="2"/>
        <scheme val="minor"/>
      </rPr>
      <t xml:space="preserve">Requisitos sobre Trámites en Gerencias Especiales
</t>
    </r>
    <r>
      <rPr>
        <sz val="11"/>
        <color rgb="FF000000"/>
        <rFont val="Aptos Narrow"/>
        <family val="2"/>
        <scheme val="minor"/>
      </rPr>
      <t>Requisitos para el registro y emisión de autorización de la SAT al impuesto a la distribución de petróleo crudo y combustible derivados del petróleo.</t>
    </r>
  </si>
  <si>
    <r>
      <t xml:space="preserve">Requisitos para la Gestión de Devolución de Pagos Indebidos
</t>
    </r>
    <r>
      <rPr>
        <sz val="11"/>
        <color theme="1"/>
        <rFont val="Aptos Narrow"/>
        <family val="2"/>
      </rPr>
      <t>Requisitos, listado de pasos, y casos especiales; para la Devolución, Retención o Compensación de Impuestos en diferentes modalidades.</t>
    </r>
  </si>
  <si>
    <t>https://portal.sat.gob.gt/portal/requisitos-de-personas-empresas/#1715356603270-207da69d-8699</t>
  </si>
  <si>
    <r>
      <rPr>
        <b/>
        <sz val="11"/>
        <color rgb="FF000000"/>
        <rFont val="Aptos Narrow"/>
        <family val="2"/>
        <scheme val="minor"/>
      </rPr>
      <t xml:space="preserve">Requisitos para despacho de Distintivos
</t>
    </r>
    <r>
      <rPr>
        <sz val="11"/>
        <color rgb="FF000000"/>
        <rFont val="Aptos Narrow"/>
        <family val="2"/>
        <scheme val="minor"/>
      </rPr>
      <t>Requisitos para despacho de distintivos de control de productos importados a los fabricantes o importadores domiciliados en el país y a las personas individuales y jurídicas que no sean fabricantes ni importadores</t>
    </r>
  </si>
  <si>
    <t>Cantidad de páginas que consumen individualmente 2/3 de los grupos de interés</t>
  </si>
  <si>
    <t>Cantidad de páginas que consumen individualmente 1/3 de los grupos de interés</t>
  </si>
  <si>
    <r>
      <t>Autoliquidación</t>
    </r>
    <r>
      <rPr>
        <sz val="11"/>
        <color rgb="FF000000"/>
        <rFont val="Aptos Narrow"/>
        <family val="2"/>
      </rPr>
      <t xml:space="preserve">
Cálculo de las sanciones a pagar por presentación y pago extemporáneo o rectificaciones.</t>
    </r>
  </si>
  <si>
    <r>
      <t>Acuerdos y Tablas de Valores de Vehículos</t>
    </r>
    <r>
      <rPr>
        <sz val="11"/>
        <color rgb="FF000000"/>
        <rFont val="Aptos Narrow"/>
        <family val="2"/>
      </rPr>
      <t xml:space="preserve">
Información relacionada a tablas y acuerdos de valores imponibles del Impuesto al Valor Agregado para la importación de vehículos.</t>
    </r>
  </si>
  <si>
    <r>
      <rPr>
        <b/>
        <sz val="11"/>
        <color rgb="FF000000"/>
        <rFont val="Aptos Narrow"/>
        <family val="2"/>
      </rPr>
      <t xml:space="preserve">Capacitaciones
</t>
    </r>
    <r>
      <rPr>
        <sz val="11"/>
        <color rgb="FF000000"/>
        <rFont val="Aptos Narrow"/>
        <family val="2"/>
      </rPr>
      <t>Capacitaciones en diferentes modalidades y  Cultura Tributaria sobre temas relacionados a Importadores y Exportadores.</t>
    </r>
  </si>
  <si>
    <r>
      <rPr>
        <b/>
        <sz val="11"/>
        <color rgb="FF000000"/>
        <rFont val="Aptos Narrow"/>
        <family val="2"/>
      </rPr>
      <t xml:space="preserve">Consulta Facilidades de Pago
</t>
    </r>
    <r>
      <rPr>
        <sz val="11"/>
        <color rgb="FF000000"/>
        <rFont val="Aptos Narrow"/>
        <family val="2"/>
      </rPr>
      <t>Información sobre requisitos, consultas movimiento convenio y preguntas frecuentes.</t>
    </r>
  </si>
  <si>
    <t>https://portal.sat.gob.gt/portal/consultas-aduanas/</t>
  </si>
  <si>
    <r>
      <rPr>
        <b/>
        <sz val="11"/>
        <color rgb="FF000000"/>
        <rFont val="Aptos Narrow"/>
        <family val="2"/>
        <scheme val="minor"/>
      </rPr>
      <t xml:space="preserve">Consultas de Aduanas
</t>
    </r>
    <r>
      <rPr>
        <sz val="11"/>
        <color rgb="FF000000"/>
        <rFont val="Aptos Narrow"/>
        <family val="2"/>
        <scheme val="minor"/>
      </rPr>
      <t>Consultas sobre retención/liberación de documentos, manifiestos y contenedores; Documentos de transporte con Honduras y Sistema de cobro por Permanencia en el pais. Asignaciones a Rampa de revisión y Revisores, Arancel Integrado, Declaraciones de Mercancías. Registro de Admisión Temporal de Contenedores Terrestres y su ampliación. Transito pendiente. Monitoreo de Sistemas Informáticos de Aduanas.</t>
    </r>
  </si>
  <si>
    <t>https://portal.sat.gob.gt/portal/facilitacion-de-comercio/#1559325573466-1284efd5-2d1b</t>
  </si>
  <si>
    <r>
      <rPr>
        <b/>
        <sz val="11"/>
        <color rgb="FF000000"/>
        <rFont val="Aptos Narrow"/>
        <family val="2"/>
        <scheme val="minor"/>
      </rPr>
      <t xml:space="preserve">Declaración Anticipada
</t>
    </r>
    <r>
      <rPr>
        <sz val="11"/>
        <color rgb="FF000000"/>
        <rFont val="Aptos Narrow"/>
        <family val="2"/>
        <scheme val="minor"/>
      </rPr>
      <t>Información, resoluciones y procedimiento de orientación para la implementación de la declaración anticipada. Preguntas frecuentes.</t>
    </r>
  </si>
  <si>
    <r>
      <t>Legislación Aduanera</t>
    </r>
    <r>
      <rPr>
        <sz val="11"/>
        <color rgb="FF000000"/>
        <rFont val="Aptos Narrow"/>
        <family val="2"/>
      </rPr>
      <t xml:space="preserve">
Información sobre Acuerdos y Resoluciones en materia aduanera.</t>
    </r>
  </si>
  <si>
    <r>
      <t>Legislación Tributaria</t>
    </r>
    <r>
      <rPr>
        <sz val="11"/>
        <color rgb="FF000000"/>
        <rFont val="Aptos Narrow"/>
        <family val="2"/>
      </rPr>
      <t xml:space="preserve">
Información sobre Acuerdos y Resoluciones en materia tributaria.</t>
    </r>
  </si>
  <si>
    <t>https://portal.sat.gob.gt/portal/programa-miad/</t>
  </si>
  <si>
    <r>
      <rPr>
        <b/>
        <sz val="11"/>
        <color rgb="FF000000"/>
        <rFont val="Aptos Narrow"/>
        <family val="2"/>
        <scheme val="minor"/>
      </rPr>
      <t xml:space="preserve">Programa MIAD
</t>
    </r>
    <r>
      <rPr>
        <sz val="11"/>
        <color rgb="FF000000"/>
        <rFont val="Aptos Narrow"/>
        <family val="2"/>
        <scheme val="minor"/>
      </rPr>
      <t>Información sobre los componentes de procesos, infraestructura, tecnología, seguridad y recursos de la Modernización Integral Aduanera.</t>
    </r>
  </si>
  <si>
    <t>https://portal.sat.gob.gt/portal/puestos-de-control-interinstitucional-pci/</t>
  </si>
  <si>
    <r>
      <rPr>
        <b/>
        <sz val="11"/>
        <color rgb="FF000000"/>
        <rFont val="Aptos Narrow"/>
        <family val="2"/>
      </rPr>
      <t xml:space="preserve"> Puestos de Control Interinstitucional -PCI-
</t>
    </r>
    <r>
      <rPr>
        <sz val="11"/>
        <color rgb="FF000000"/>
        <rFont val="Aptos Narrow"/>
        <family val="2"/>
      </rPr>
      <t>Información sobre Puestos de Control Interinstitucional y sus ubicaciones.</t>
    </r>
  </si>
  <si>
    <r>
      <t>Tasas e Intereses</t>
    </r>
    <r>
      <rPr>
        <sz val="11"/>
        <color rgb="FF000000"/>
        <rFont val="Aptos Narrow"/>
        <family val="2"/>
      </rPr>
      <t xml:space="preserve">
Información relacionada a las tasas de intereses que estipula la Junta Monetaria para cada semestre del año, y la tasa de mora correspondiente.</t>
    </r>
  </si>
  <si>
    <t>https://portal.sat.gob.gt/portal/union-aduanera/</t>
  </si>
  <si>
    <r>
      <rPr>
        <b/>
        <sz val="11"/>
        <color rgb="FF000000"/>
        <rFont val="Aptos Narrow"/>
        <family val="2"/>
      </rPr>
      <t xml:space="preserve">Unión Aduanera
</t>
    </r>
    <r>
      <rPr>
        <sz val="11"/>
        <color rgb="FF000000"/>
        <rFont val="Aptos Narrow"/>
        <family val="2"/>
      </rPr>
      <t>Información sobre la historia, resoluciones y procedimientos de la Unión Aduanera entre Guatemala y Honduras.</t>
    </r>
  </si>
  <si>
    <t>https://portal.sat.gob.gt/portal/preguntas-frecuentes/cumplimiento-tributario/#1528240031207-3ce9866a-9863</t>
  </si>
  <si>
    <r>
      <rPr>
        <b/>
        <sz val="11"/>
        <color rgb="FF000000"/>
        <rFont val="Aptos Narrow"/>
        <family val="2"/>
        <scheme val="minor"/>
      </rPr>
      <t xml:space="preserve">Preguntas Frecuentes sobre Facilidades de Pago
</t>
    </r>
    <r>
      <rPr>
        <sz val="11"/>
        <color rgb="FF000000"/>
        <rFont val="Aptos Narrow"/>
        <family val="2"/>
        <scheme val="minor"/>
      </rPr>
      <t>Preguntas frecuentes y respuestas sobre bases legales, plazos de emisión, solicitud y formularios de facilidades de pago.</t>
    </r>
  </si>
  <si>
    <t>https://portal.sat.gob.gt/portal/preguntas-frecuentes/cumplimiento-tributario/#1674938805376-f6c4abc5-cfda</t>
  </si>
  <si>
    <r>
      <rPr>
        <b/>
        <sz val="11"/>
        <color rgb="FF000000"/>
        <rFont val="Aptos Narrow"/>
        <family val="2"/>
        <scheme val="minor"/>
      </rPr>
      <t xml:space="preserve">Preguntas Frecuentes sobre Factura Electrónica -FEL-
</t>
    </r>
    <r>
      <rPr>
        <sz val="11"/>
        <color rgb="FF000000"/>
        <rFont val="Aptos Narrow"/>
        <family val="2"/>
        <scheme val="minor"/>
      </rPr>
      <t>Preguntas frecuentes y respuestas sobre el régimen de factura electrónica en línea, documentos tribuarios electrónicos y la aplicacion FEL.</t>
    </r>
  </si>
  <si>
    <t>https://portal.sat.gob.gt/portal/preguntas-frecuentes/cumplimiento-tributario/#1652906579852-40d8e272-35bb</t>
  </si>
  <si>
    <r>
      <rPr>
        <b/>
        <sz val="11"/>
        <color rgb="FF000000"/>
        <rFont val="Aptos Narrow"/>
        <family val="2"/>
        <scheme val="minor"/>
      </rPr>
      <t xml:space="preserve">Preguntas Frecuentes sobre Solvencia Fiscal -S0FI-
</t>
    </r>
    <r>
      <rPr>
        <sz val="11"/>
        <color rgb="FF000000"/>
        <rFont val="Aptos Narrow"/>
        <family val="2"/>
        <scheme val="minor"/>
      </rPr>
      <t>Preguntas frecuentes y respuestas sobre bases legales, plazos de emisión, solicitud, oblicaciones pendientes,  y formularios de solvencia fiscal.</t>
    </r>
  </si>
  <si>
    <t>https://portal.sat.gob.gt/portal/preguntas-frecuentes/temas-aduaneros/</t>
  </si>
  <si>
    <r>
      <rPr>
        <b/>
        <sz val="11"/>
        <color rgb="FF000000"/>
        <rFont val="Aptos Narrow"/>
        <family val="2"/>
        <scheme val="minor"/>
      </rPr>
      <t xml:space="preserve">Preguntas Frecuentes sobre Temas Aduaneros
</t>
    </r>
    <r>
      <rPr>
        <sz val="11"/>
        <color rgb="FF000000"/>
        <rFont val="Aptos Narrow"/>
        <family val="2"/>
        <scheme val="minor"/>
      </rPr>
      <t>Preguntas frecuentes y respuestas sobre la declaración jurada del viajero, operador economico autorizado, DUCA, declaración anticipada, manifiestos de carga, despacho de mercancías, aduanas sin papeles, clasificación arancelaria, marchamo electrónico, defraudación y contrabando aduanero, laboratorio químico fiscal, franquicias aduaneras, exportaciones temporales, reimportación y sustitución de mercancías, auxiliares de la función pública aduanera y el régimen de admisión temporal de perfeccionamiento activo.</t>
    </r>
  </si>
  <si>
    <t>https://portal.sat.gob.gt/portal/procedimientos-aduanas/#1571412473853-2ed0b43f-287f</t>
  </si>
  <si>
    <r>
      <rPr>
        <b/>
        <sz val="11"/>
        <color rgb="FF000000"/>
        <rFont val="Aptos Narrow"/>
        <family val="2"/>
        <scheme val="minor"/>
      </rPr>
      <t xml:space="preserve">Procedimientos, Instructivos, Manuales, Guías y Documentos Guía para Gestiones Aduaneras
</t>
    </r>
    <r>
      <rPr>
        <sz val="11"/>
        <color rgb="FF000000"/>
        <rFont val="Aptos Narrow"/>
        <family val="2"/>
        <scheme val="minor"/>
      </rPr>
      <t>Información sobre procedimientos, procedimientos conjuntos, formatos, instructivos, guías y foliares para gestiones aduaneras.</t>
    </r>
  </si>
  <si>
    <t>https://portal.sat.gob.gt/portal/procedimientos-aduanas/#1570112033454-be3581a4-383a</t>
  </si>
  <si>
    <r>
      <rPr>
        <b/>
        <sz val="11"/>
        <color rgb="FF000000"/>
        <rFont val="Aptos Narrow"/>
        <family val="2"/>
        <scheme val="minor"/>
      </rPr>
      <t xml:space="preserve">Procedimientos Administrativo de Aduanas
</t>
    </r>
    <r>
      <rPr>
        <sz val="11"/>
        <color rgb="FF000000"/>
        <rFont val="Aptos Narrow"/>
        <family val="2"/>
        <scheme val="minor"/>
      </rPr>
      <t>Información sobre las sanciones aplicables a la importación, exportación o tránsito de mercancias y los recursos aduaneros.</t>
    </r>
  </si>
  <si>
    <t>https://portal.sat.gob.gt/portal/recepcion-de-objeciones-y-recomendaciones-procedimientos-de-la-sat/objeciones-y-recomendaciones-a-los-procedimientos-de-la-intendencia-de-aduanas/</t>
  </si>
  <si>
    <r>
      <rPr>
        <b/>
        <sz val="11"/>
        <color rgb="FF000000"/>
        <rFont val="Aptos Narrow"/>
        <family val="2"/>
        <scheme val="minor"/>
      </rPr>
      <t xml:space="preserve">Objeciones y Recomendaciones a los procedimientos de la Intendencia de Aduanas
</t>
    </r>
    <r>
      <rPr>
        <sz val="11"/>
        <color rgb="FF000000"/>
        <rFont val="Aptos Narrow"/>
        <family val="2"/>
        <scheme val="minor"/>
      </rPr>
      <t>Sección a visualizar los procedimientos de SAT en proceso de creación o actualización,  donde se puede objetar y recomendar previo a su aprobación.</t>
    </r>
  </si>
  <si>
    <t>https://portal.sat.gob.gt/portal/procedimientos-aduanas/#1555105635499-a4507e58-10e9</t>
  </si>
  <si>
    <r>
      <t xml:space="preserve">Declaración de mercancías
</t>
    </r>
    <r>
      <rPr>
        <sz val="11"/>
        <color rgb="FF000000"/>
        <rFont val="Aptos Narrow"/>
        <family val="2"/>
        <scheme val="minor"/>
      </rPr>
      <t>Información sobre  la declaración única centroamericana DUCA, declaración única aduanera, aduana sin papeles y su instructivo, codificación de documentos digitalizados y la declaración de valor.</t>
    </r>
  </si>
  <si>
    <t>https://portal.sat.gob.gt/portal/procedimientos-aduanas/#1570112075238-edc16f12-13da</t>
  </si>
  <si>
    <r>
      <rPr>
        <b/>
        <sz val="11"/>
        <color rgb="FF000000"/>
        <rFont val="Aptos Narrow"/>
        <family val="2"/>
        <scheme val="minor"/>
      </rPr>
      <t xml:space="preserve">Operador Económico Autorizado
</t>
    </r>
    <r>
      <rPr>
        <sz val="11"/>
        <color rgb="FF000000"/>
        <rFont val="Aptos Narrow"/>
        <family val="2"/>
        <scheme val="minor"/>
      </rPr>
      <t>Información sobre proceso de habilitación, marco normativo, controles administrativos y operacionales, actores OEA habilitados, documentos generales, manuales e instructivos del operador económico autorizado.</t>
    </r>
  </si>
  <si>
    <t>https://portal.sat.gob.gt/portal/procedimientos-aduanas/#1570112099245-da4c67a5-4c35</t>
  </si>
  <si>
    <r>
      <rPr>
        <b/>
        <sz val="11"/>
        <color rgb="FF000000"/>
        <rFont val="Aptos Narrow"/>
        <family val="2"/>
        <scheme val="minor"/>
      </rPr>
      <t xml:space="preserve">Programa de Modernización Integral Aduanera
</t>
    </r>
    <r>
      <rPr>
        <sz val="11"/>
        <color rgb="FF000000"/>
        <rFont val="Aptos Narrow"/>
        <family val="2"/>
        <scheme val="minor"/>
      </rPr>
      <t>Información sobre el proceso de solicitud, colocación y funcionamiento del marchamo electrónico, inventario de áreas de activación y desactivación y entidades prestadoras del servicio autorizadas.</t>
    </r>
  </si>
  <si>
    <t>https://portal.sat.gob.gt/portal/procedimientos-aduanas/#1570052538100-3c2cf7a3-8917</t>
  </si>
  <si>
    <r>
      <rPr>
        <b/>
        <sz val="11"/>
        <color rgb="FF000000"/>
        <rFont val="Aptos Narrow"/>
        <family val="2"/>
        <scheme val="minor"/>
      </rPr>
      <t xml:space="preserve">Gestiones Aduaneras de Vehículos
</t>
    </r>
    <r>
      <rPr>
        <sz val="11"/>
        <color rgb="FF000000"/>
        <rFont val="Aptos Narrow"/>
        <family val="2"/>
        <scheme val="minor"/>
      </rPr>
      <t>Información sobre documentación a presentar ante la aduana de Vehículos, importación de vehículos y el alza de importación.</t>
    </r>
  </si>
  <si>
    <t>https://portal.sat.gob.gt/portal/requisitos-de-aduanas/#1542142398181-8db4844a-6760</t>
  </si>
  <si>
    <r>
      <rPr>
        <b/>
        <sz val="11"/>
        <color rgb="FF000000"/>
        <rFont val="Aptos Narrow"/>
        <family val="2"/>
        <scheme val="minor"/>
      </rPr>
      <t xml:space="preserve">Requisitos para Consulta de Expedientes
</t>
    </r>
    <r>
      <rPr>
        <sz val="11"/>
        <color rgb="FF000000"/>
        <rFont val="Aptos Narrow"/>
        <family val="2"/>
        <scheme val="minor"/>
      </rPr>
      <t>Información sobre la  consulta del estado o actuaciones de expedientes de las Unidades del Departamento de Gestión Aduanera.</t>
    </r>
  </si>
  <si>
    <t>https://portal.sat.gob.gt/portal/requisitos-de-vehiculos/#1541780077723-c74e470e-b935</t>
  </si>
  <si>
    <r>
      <rPr>
        <b/>
        <sz val="11"/>
        <color rgb="FF000000"/>
        <rFont val="Aptos Narrow"/>
        <family val="2"/>
        <scheme val="minor"/>
      </rPr>
      <t xml:space="preserve">Requisitos sobre Traspaso Electrónico de Vehículos a través de Notarios
</t>
    </r>
    <r>
      <rPr>
        <sz val="11"/>
        <color rgb="FF000000"/>
        <rFont val="Aptos Narrow"/>
        <family val="2"/>
        <scheme val="minor"/>
      </rPr>
      <t>Información sobre traspaso electrónico de vehículos por notario con anexo del certificado de propiedad emitido vía Declaraguate en Agencia Virtual, entrega de documentos de traspaso electrónico en Agencia Virtual y Requisitos para remitir documentación electrónica o digital de TEV.</t>
    </r>
  </si>
  <si>
    <t>https://portal.sat.gob.gt/portal/programa-miad/componente-procesos/importacion/#1623281268015-fb939ea7-9dfb</t>
  </si>
  <si>
    <r>
      <rPr>
        <b/>
        <sz val="11"/>
        <color rgb="FF000000"/>
        <rFont val="Aptos Narrow"/>
        <family val="2"/>
        <scheme val="minor"/>
      </rPr>
      <t xml:space="preserve">Importación
</t>
    </r>
    <r>
      <rPr>
        <sz val="11"/>
        <color rgb="FF000000"/>
        <rFont val="Aptos Narrow"/>
        <family val="2"/>
        <scheme val="minor"/>
      </rPr>
      <t>Conceptos generales sobre importación de mercancias y buenas practicas sugeridas desde la Modernización Integral Aduanera.</t>
    </r>
  </si>
  <si>
    <t>https://portal.sat.gob.gt/portal/programa-miad/componente-procesos/importacion/#1623281274865-df599d08-4b3c</t>
  </si>
  <si>
    <r>
      <rPr>
        <sz val="11"/>
        <color rgb="FF000000"/>
        <rFont val="Aptos Narrow"/>
        <family val="2"/>
        <scheme val="minor"/>
      </rPr>
      <t xml:space="preserve">
</t>
    </r>
    <r>
      <rPr>
        <b/>
        <sz val="11"/>
        <color rgb="FF000000"/>
        <rFont val="Aptos Narrow"/>
        <family val="2"/>
        <scheme val="minor"/>
      </rPr>
      <t xml:space="preserve">Pasos previos a tu importación de mercancías vía aérea
</t>
    </r>
    <r>
      <rPr>
        <sz val="11"/>
        <color rgb="FF000000"/>
        <rFont val="Aptos Narrow"/>
        <family val="2"/>
        <scheme val="minor"/>
      </rPr>
      <t>Información sobre requisitos, consideraciones, documentos necesarios y procesos con los pasos previos a una importación definitiva desde el marco de la Modernización Integral Aduanera.</t>
    </r>
  </si>
  <si>
    <t>https://portal.sat.gob.gt/portal/procedimientos-aduanas/#1555105576411-b2abec85-7665</t>
  </si>
  <si>
    <r>
      <rPr>
        <b/>
        <sz val="11"/>
        <color rgb="FF000000"/>
        <rFont val="Aptos Narrow"/>
        <family val="2"/>
        <scheme val="minor"/>
      </rPr>
      <t xml:space="preserve">Sistema de Franquicias Electrónicas
</t>
    </r>
    <r>
      <rPr>
        <sz val="11"/>
        <color rgb="FF000000"/>
        <rFont val="Aptos Narrow"/>
        <family val="2"/>
        <scheme val="minor"/>
      </rPr>
      <t>Información sobre documentación técnica de orientación al usuario externo para solicitudes de Franquicia Electrónica y videos informativos.</t>
    </r>
  </si>
  <si>
    <t>https://portal.sat.gob.gt/portal/requisitos-de-aduanas/#1542142298663-bee160b4-5362</t>
  </si>
  <si>
    <r>
      <rPr>
        <b/>
        <sz val="11"/>
        <color rgb="FF000000"/>
        <rFont val="Aptos Narrow"/>
        <family val="2"/>
        <scheme val="minor"/>
      </rPr>
      <t xml:space="preserve">Requisitos sobre documentos para Importación y Admisión Temporal
</t>
    </r>
    <r>
      <rPr>
        <sz val="11"/>
        <color rgb="FF000000"/>
        <rFont val="Aptos Narrow"/>
        <family val="2"/>
        <scheme val="minor"/>
      </rPr>
      <t>Información y requisitos sobre recepción de seguro de caución de importacion y admisión temporal, presentación de mercancia de importación y admisiones temporales para cargos y fianzas y requisitos para la importación temporal de vehículos de turismo.</t>
    </r>
  </si>
  <si>
    <t>https://portal.sat.gob.gt/portal/requisitos-tramites-agencias/cambio-de-regimen-optativo-al-regimen-especial-de-devolucion-de-credito-fiscal-de-iva-por-exportaciones/</t>
  </si>
  <si>
    <r>
      <rPr>
        <b/>
        <sz val="11"/>
        <color rgb="FF000000"/>
        <rFont val="Aptos Narrow"/>
        <family val="2"/>
        <scheme val="minor"/>
      </rPr>
      <t xml:space="preserve">Requisitos para el Cambio de Regímenes
</t>
    </r>
    <r>
      <rPr>
        <sz val="11"/>
        <color rgb="FF000000"/>
        <rFont val="Aptos Narrow"/>
        <family val="2"/>
        <scheme val="minor"/>
      </rPr>
      <t xml:space="preserve">Requisitos, listado de pasos, y casos especiales; para el cambio de régimen optativo al régimen especial de devolución de crédito fiscal de IVA por exportaciones.
</t>
    </r>
  </si>
  <si>
    <t>https://portal.sat.gob.gt/portal/consulta-de-solicitudes-de-devolucion-de-credito-fiscal-regimen-general/</t>
  </si>
  <si>
    <r>
      <rPr>
        <b/>
        <sz val="11"/>
        <color rgb="FF000000"/>
        <rFont val="Aptos Narrow"/>
        <family val="2"/>
        <scheme val="minor"/>
      </rPr>
      <t xml:space="preserve">Consulta de Devolucion de Crédito Fiscal Régimen General
</t>
    </r>
    <r>
      <rPr>
        <sz val="11"/>
        <color rgb="FF000000"/>
        <rFont val="Aptos Narrow"/>
        <family val="2"/>
        <scheme val="minor"/>
      </rPr>
      <t>Información sobre solicitudes de crédito fiscal de régimen general pendientes de atención.</t>
    </r>
  </si>
  <si>
    <t>https://portal.sat.gob.gt/portal/requisitos-de-personas-empresas/#1541710775060-c48ed303-d21d</t>
  </si>
  <si>
    <r>
      <rPr>
        <b/>
        <sz val="11"/>
        <color rgb="FF000000"/>
        <rFont val="Aptos Narrow"/>
        <family val="2"/>
        <scheme val="minor"/>
      </rPr>
      <t xml:space="preserve">Requisitos para el Cambio de Regímenes
</t>
    </r>
    <r>
      <rPr>
        <sz val="11"/>
        <color rgb="FF000000"/>
        <rFont val="Aptos Narrow"/>
        <family val="2"/>
        <scheme val="minor"/>
      </rPr>
      <t>Información sobre los requisitos para el registro exportadores en Agencia Virtual, inscripción al régimen habitual de exportación, actualización, inscripción, inactivación, permisos temporales y devolución de crédito fiscal en el registro de exportadores.</t>
    </r>
  </si>
  <si>
    <t>Total de Páginas consumidas por grupo de interés</t>
  </si>
  <si>
    <t>Cantidad de páginas que consumen por igual 4/5  de los grupos de interés</t>
  </si>
  <si>
    <t>Cantidad de páginas que consumen por igual 3/5  de los grupos de interés</t>
  </si>
  <si>
    <t>Cantidad de páginas que consumen individualmente 2/5  de los grupos de interés</t>
  </si>
  <si>
    <t>Cantidad de páginas que consumen individualmente 1/5  de los grupos de interés</t>
  </si>
  <si>
    <t> </t>
  </si>
  <si>
    <r>
      <rPr>
        <b/>
        <sz val="11"/>
        <color rgb="FF000000"/>
        <rFont val="Aptos Narrow"/>
        <family val="2"/>
      </rPr>
      <t xml:space="preserve">Capacitaciones
</t>
    </r>
    <r>
      <rPr>
        <sz val="11"/>
        <color rgb="FF000000"/>
        <rFont val="Aptos Narrow"/>
        <family val="2"/>
      </rPr>
      <t>Capacitaciones en diferentes modalidades y  Cultura Tributaria sobre temas relacionados a Contribuyentes Exentos.</t>
    </r>
  </si>
  <si>
    <t>https://portal.sat.gob.gt/portal/listado-de-contribuyentes-morosos/</t>
  </si>
  <si>
    <r>
      <rPr>
        <b/>
        <sz val="11"/>
        <color rgb="FF000000"/>
        <rFont val="Aptos Narrow"/>
        <family val="2"/>
        <scheme val="minor"/>
      </rPr>
      <t>Listado de Contribuyentes Morosos</t>
    </r>
    <r>
      <rPr>
        <sz val="11"/>
        <color rgb="FF000000"/>
        <rFont val="Aptos Narrow"/>
        <family val="2"/>
        <scheme val="minor"/>
      </rPr>
      <t xml:space="preserve"> 
Expedientes con adeudo tributario en fase judicial, Intendencia de Asuntos Jurídicos</t>
    </r>
  </si>
  <si>
    <t>https://portal.sat.gob.gt/portal/bitacora-de-solvencia-fiscal/</t>
  </si>
  <si>
    <r>
      <rPr>
        <b/>
        <sz val="11"/>
        <color rgb="FF000000"/>
        <rFont val="Aptos Narrow"/>
        <family val="2"/>
        <scheme val="minor"/>
      </rPr>
      <t xml:space="preserve">Solvencia Fiscal
</t>
    </r>
    <r>
      <rPr>
        <sz val="11"/>
        <color rgb="FF000000"/>
        <rFont val="Aptos Narrow"/>
        <family val="2"/>
        <scheme val="minor"/>
      </rPr>
      <t>Para consultar la gestión de la Solvencia Fiscal en línea.</t>
    </r>
  </si>
  <si>
    <t>https://portal.sat.gob.gt/portal/recepcion-de-objeciones-y-recomendaciones-procedimientos-de-la-sat/objeciones-y-recomendaciones-a-los-procedimientos-de-la-intendencia-de-asuntos-juridicos/</t>
  </si>
  <si>
    <r>
      <rPr>
        <b/>
        <sz val="11"/>
        <color rgb="FF000000"/>
        <rFont val="Aptos Narrow"/>
        <family val="2"/>
        <scheme val="minor"/>
      </rPr>
      <t xml:space="preserve">Observaciones y recomendaciones a procedimientos de la Intedencia de Asuntos Jurídicos
</t>
    </r>
    <r>
      <rPr>
        <sz val="11"/>
        <color rgb="FF000000"/>
        <rFont val="Aptos Narrow"/>
        <family val="2"/>
        <scheme val="minor"/>
      </rPr>
      <t>Sección a visualizar los procedimientos de SAT en proceso de creación o actualización,  donde se puede objetar y recomendar previo a su aprobación.</t>
    </r>
  </si>
  <si>
    <t>https://portal.sat.gob.gt/portal/requisitos-tramites-notarios/#1541778875468-83ddfd67-082d</t>
  </si>
  <si>
    <r>
      <rPr>
        <b/>
        <sz val="11"/>
        <color rgb="FF000000"/>
        <rFont val="Aptos Narrow"/>
        <family val="2"/>
        <scheme val="minor"/>
      </rPr>
      <t xml:space="preserve">Requisitos para Avisos de Notarios
</t>
    </r>
    <r>
      <rPr>
        <sz val="11"/>
        <color rgb="FF000000"/>
        <rFont val="Aptos Narrow"/>
        <family val="2"/>
        <scheme val="minor"/>
      </rPr>
      <t>Requisitos para el aviso de legalización de firmas en certificado de propiedad de vehículos y aviso de transferencia de dominio de vehículos.</t>
    </r>
  </si>
  <si>
    <t>https://portal.sat.gob.gt/portal/requisitos-tramites-agencias/tercera-persona-autorizada-rtu/</t>
  </si>
  <si>
    <r>
      <rPr>
        <b/>
        <sz val="11"/>
        <color rgb="FF000000"/>
        <rFont val="Aptos Narrow"/>
        <family val="2"/>
      </rPr>
      <t xml:space="preserve">Requisitos para gestiones de RTU de Tercera Persona Autorizada
</t>
    </r>
    <r>
      <rPr>
        <sz val="11"/>
        <color rgb="FF000000"/>
        <rFont val="Aptos Narrow"/>
        <family val="2"/>
      </rPr>
      <t>Requisitos, lista de pasos y casos especiales; para tercera persona autorizada por el contribuyente para realizar gestiones de RTU ante la SAT.</t>
    </r>
  </si>
  <si>
    <r>
      <rPr>
        <b/>
        <sz val="11"/>
        <color rgb="FF000000"/>
        <rFont val="Aptos Narrow"/>
        <family val="2"/>
        <scheme val="minor"/>
      </rPr>
      <t xml:space="preserve">Requisitos para la Inscripción de Vehículos
</t>
    </r>
    <r>
      <rPr>
        <sz val="11"/>
        <color rgb="FF000000"/>
        <rFont val="Aptos Narrow"/>
        <family val="2"/>
      </rPr>
      <t>Requisitos para inscribir diferentes vehículos, como la obtención de placas y pago del impuesto sobre circulación como Distribuidor.</t>
    </r>
  </si>
  <si>
    <r>
      <rPr>
        <b/>
        <sz val="11"/>
        <color rgb="FF000000"/>
        <rFont val="Aptos Narrow"/>
        <family val="2"/>
      </rPr>
      <t xml:space="preserve">Acuerdos y Tablas de Valores de Vehículos
</t>
    </r>
    <r>
      <rPr>
        <sz val="11"/>
        <color rgb="FF000000"/>
        <rFont val="Aptos Narrow"/>
        <family val="2"/>
      </rPr>
      <t>Información relacionada a tablas y acuerdos de valores imponibles del Impuesto al Valor Agregado para la importación de vehículos.</t>
    </r>
  </si>
  <si>
    <t>https://portal.sat.gob.gt/portal/operador-economico-autorizado/</t>
  </si>
  <si>
    <r>
      <t>Operador Económico Autorizado</t>
    </r>
    <r>
      <rPr>
        <sz val="11"/>
        <color theme="1"/>
        <rFont val="Aptos Narrow"/>
        <family val="2"/>
      </rPr>
      <t xml:space="preserve">
Información sobre proceso de habilitación, marco normativo, controles administrativos y operacionales, actores OEA habilitados, documentos generales, manuales e instructivos del operador económico autorizado.</t>
    </r>
  </si>
  <si>
    <t>https://portal.sat.gob.gt/portal/procedimientos-aduanas/</t>
  </si>
  <si>
    <r>
      <rPr>
        <b/>
        <sz val="11"/>
        <color theme="1"/>
        <rFont val="Aptos Narrow"/>
        <family val="2"/>
      </rPr>
      <t xml:space="preserve">Declaración de mercancías
</t>
    </r>
    <r>
      <rPr>
        <sz val="11"/>
        <color theme="1"/>
        <rFont val="Aptos Narrow"/>
        <family val="2"/>
      </rPr>
      <t>Información sobre  la declaración única centroamericana DUCA, declaración única aduanera, aduana sin papeles y su instructivo, codificación de documentos digitalizados y la declaración de valor.</t>
    </r>
  </si>
  <si>
    <t>https://portal.sat.gob.gt/portal/manual-de-procedimientos-de-la-intendencia-de-aduanas/</t>
  </si>
  <si>
    <r>
      <rPr>
        <b/>
        <sz val="11"/>
        <color rgb="FF000000"/>
        <rFont val="Aptos Narrow"/>
        <family val="2"/>
        <scheme val="minor"/>
      </rPr>
      <t xml:space="preserve">Procedimientos de la Intendencia de Aduanas (Manuales)
</t>
    </r>
    <r>
      <rPr>
        <sz val="11"/>
        <color rgb="FF000000"/>
        <rFont val="Aptos Narrow"/>
        <family val="2"/>
        <scheme val="minor"/>
      </rPr>
      <t>Información aplicable en los Depósitos Aduaneros Temporales; sobre autorización, registro, gestiones o autorizaciones especiales, gestión de carga, despacho y gestión posterior.</t>
    </r>
  </si>
  <si>
    <t>https://portal.sat.gob.gt/portal/aduana-sin-papeles/</t>
  </si>
  <si>
    <r>
      <rPr>
        <b/>
        <sz val="11"/>
        <color rgb="FF000000"/>
        <rFont val="Aptos Narrow"/>
        <family val="2"/>
        <scheme val="minor"/>
      </rPr>
      <t xml:space="preserve">Aduana Sin Papeles
</t>
    </r>
    <r>
      <rPr>
        <sz val="11"/>
        <color rgb="FF000000"/>
        <rFont val="Aptos Narrow"/>
        <family val="2"/>
        <scheme val="minor"/>
      </rPr>
      <t>Información sobre el objetivo, pilares y alcance de la digitalización de las Declaraciones de Mercancías para la eliminación progresiva del uso de papel.</t>
    </r>
  </si>
  <si>
    <t>https://portal.sat.gob.gt/portal/convenios-interinstitucionales-sat/</t>
  </si>
  <si>
    <r>
      <rPr>
        <b/>
        <sz val="11"/>
        <color rgb="FF000000"/>
        <rFont val="Aptos Narrow"/>
        <family val="2"/>
        <scheme val="minor"/>
      </rPr>
      <t xml:space="preserve">Convenios Interinstitucionales
</t>
    </r>
    <r>
      <rPr>
        <sz val="11"/>
        <color rgb="FF000000"/>
        <rFont val="Aptos Narrow"/>
        <family val="2"/>
        <scheme val="minor"/>
      </rPr>
      <t>Información sobre convenios de SAT con otras instituciones, fecha de suscripción, finalización y estatus.</t>
    </r>
  </si>
  <si>
    <r>
      <t>Consultas de Aduanas</t>
    </r>
    <r>
      <rPr>
        <sz val="11"/>
        <color rgb="FF000000"/>
        <rFont val="Aptos Narrow"/>
        <family val="2"/>
      </rPr>
      <t xml:space="preserve">
Consultas sobre retención/liberación de documentos, manifiestos y contenedores; Documentos de transporte con Honduras y Sistema de cobro por Permanencia en el pais. Asignaciones a Rampa de revisión y Revisores, Arancel Integrado, Declaraciones de Mercancías. Registro de Admisión Temporal de Contenedores Terrestres y su ampliación. Transito pendiente. Monitoreo de Sistemas Informáticos de Aduanas.</t>
    </r>
  </si>
  <si>
    <t>https://portal.sat.gob.gt/portal/facilitacion-de-comercio/</t>
  </si>
  <si>
    <r>
      <t>Facilitación de Comercio</t>
    </r>
    <r>
      <rPr>
        <sz val="11"/>
        <color rgb="FF000000"/>
        <rFont val="Aptos Narrow"/>
        <family val="2"/>
      </rPr>
      <t xml:space="preserve">
Información sobre Acuerdos, Estudios, Valoración de Mercancias, Procedimientos, Unión Aduanera, Consulta Pública, Declaración Anticipada y la No Exigibilidad de la declaraciones sobre las mismas, para la Facilitación de Comercio.</t>
    </r>
  </si>
  <si>
    <r>
      <t>Sistema Retenciones Web -ISR-</t>
    </r>
    <r>
      <rPr>
        <sz val="11"/>
        <color rgb="FF000000"/>
        <rFont val="Aptos Narrow"/>
        <family val="2"/>
      </rPr>
      <t xml:space="preserve">
Información sobre el uso de la herramienta, incorporación, delegación de permisos y manuales de usuario para usuarios del sector público.</t>
    </r>
  </si>
  <si>
    <r>
      <t>Sistema Retenciones Web -IVA-</t>
    </r>
    <r>
      <rPr>
        <sz val="11"/>
        <color rgb="FF000000"/>
        <rFont val="Aptos Narrow"/>
        <family val="2"/>
      </rPr>
      <t xml:space="preserve">
Información sobre el uso de la herramienta, porcentajes de retención, listado de agentes de retención del impuesto y canales de consultas.</t>
    </r>
  </si>
  <si>
    <t>https://portal.sat.gob.gt/portal/ubicacion-y-horario-de-aduanas/</t>
  </si>
  <si>
    <r>
      <rPr>
        <b/>
        <sz val="11"/>
        <color rgb="FF000000"/>
        <rFont val="Aptos Narrow"/>
        <family val="2"/>
        <scheme val="minor"/>
      </rPr>
      <t xml:space="preserve">Ubicación y horario de Aduanas
</t>
    </r>
    <r>
      <rPr>
        <sz val="11"/>
        <color rgb="FF000000"/>
        <rFont val="Aptos Narrow"/>
        <family val="2"/>
        <scheme val="minor"/>
      </rPr>
      <t>Ubicaciones, contacto teléfono, horarios y servicios que prestan las diferentes aduanas a nivel nacional.</t>
    </r>
  </si>
  <si>
    <t>https://portal.sat.gob.gt/portal/preguntas-frecuentes/temas-aduaneros/#1712605946821-b4e512b4-6c69</t>
  </si>
  <si>
    <r>
      <rPr>
        <b/>
        <sz val="11"/>
        <color rgb="FF000000"/>
        <rFont val="Aptos Narrow"/>
        <family val="2"/>
        <scheme val="minor"/>
      </rPr>
      <t xml:space="preserve">Preguntas Frecuentes sobre el Marchamo Electrónico
</t>
    </r>
    <r>
      <rPr>
        <sz val="11"/>
        <color rgb="FF000000"/>
        <rFont val="Aptos Narrow"/>
        <family val="2"/>
        <scheme val="minor"/>
      </rPr>
      <t>Preguntas frecuentes y respuestas sobre marchamo electrónico y en que aduanas lo utilizan.</t>
    </r>
  </si>
  <si>
    <r>
      <rPr>
        <b/>
        <sz val="11"/>
        <color rgb="FF000000"/>
        <rFont val="Aptos Narrow"/>
        <family val="2"/>
      </rPr>
      <t xml:space="preserve">Objeciones y Recomendaciones a los procedimientos de la Intendencia de Aduanas
</t>
    </r>
    <r>
      <rPr>
        <sz val="11"/>
        <color rgb="FF000000"/>
        <rFont val="Aptos Narrow"/>
        <family val="2"/>
      </rPr>
      <t>Sección a visualizar los procedimientos de SAT en proceso de creación o actualización,  donde se puede objetar y recomendar previo a su aprobación.</t>
    </r>
  </si>
  <si>
    <t>https://portal.sat.gob.gt/portal/documentacion-a-presentar-ante-la-aduana-de-vehiculos-trifoliar/</t>
  </si>
  <si>
    <r>
      <rPr>
        <b/>
        <sz val="11"/>
        <color rgb="FF000000"/>
        <rFont val="Aptos Narrow"/>
        <family val="2"/>
        <scheme val="minor"/>
      </rPr>
      <t xml:space="preserve">Documentación a presentar ante la Aduana de Vehículos para la revisión de los vehículos según solicitud
</t>
    </r>
    <r>
      <rPr>
        <sz val="11"/>
        <color rgb="FF000000"/>
        <rFont val="Aptos Narrow"/>
        <family val="2"/>
        <scheme val="minor"/>
      </rPr>
      <t>Información sobre quienes pueden solicitar la revisión de vehículos, que deben presentar  y como comprobar el valor de la transacción.</t>
    </r>
  </si>
  <si>
    <t>https://portal.sat.gob.gt/portal/requisitos-tramites-aduanas/solicitud-de-renovacion-de-auxiliares-de-la-funcion-publica-en-unidad-de-calificacion-registro-y-control-de-auxiliares-de-la-funcion-publica/</t>
  </si>
  <si>
    <r>
      <rPr>
        <b/>
        <sz val="11"/>
        <color rgb="FF000000"/>
        <rFont val="Aptos Narrow"/>
        <family val="2"/>
        <scheme val="minor"/>
      </rPr>
      <t xml:space="preserve">Requisitos para la Solicitud de Renovación de Auxiliar de la Función Pública en la Unidad de Administración de Auxiliares de la Función Pública Aduanera
</t>
    </r>
    <r>
      <rPr>
        <sz val="11"/>
        <color rgb="FF000000"/>
        <rFont val="Aptos Narrow"/>
        <family val="2"/>
        <scheme val="minor"/>
      </rPr>
      <t>Requisitos para auxiliares de la función pública aduanera y su representante legal, lista de pasos y casos especiales.</t>
    </r>
  </si>
  <si>
    <t>https://portal.sat.gob.gt/portal/requisitos-de-personas-empresas/#1541698042332-5a32c823-6bb4</t>
  </si>
  <si>
    <r>
      <rPr>
        <b/>
        <sz val="11"/>
        <color rgb="FF000000"/>
        <rFont val="Aptos Narrow"/>
        <family val="2"/>
        <scheme val="minor"/>
      </rPr>
      <t xml:space="preserve">Requisitos para Cancelación de Negocios
</t>
    </r>
    <r>
      <rPr>
        <sz val="11"/>
        <color rgb="FF000000"/>
        <rFont val="Aptos Narrow"/>
        <family val="2"/>
        <scheme val="minor"/>
      </rPr>
      <t>Requisitos para cese por prescripción, cese de negocios inscritos bajo diferentes modalidades, Cese de NIT administrativo jurídico y habilitación de actividades con cancelación temporal.</t>
    </r>
  </si>
  <si>
    <t>Cantidad de páginas que consumen por igual 2/5  de los grupos de interés</t>
  </si>
  <si>
    <r>
      <rPr>
        <b/>
        <sz val="11"/>
        <color rgb="FF000000"/>
        <rFont val="Aptos Narrow"/>
        <family val="2"/>
        <scheme val="minor"/>
      </rPr>
      <t xml:space="preserve">Asiste Hospitales Web
</t>
    </r>
    <r>
      <rPr>
        <sz val="11"/>
        <color rgb="FF000000"/>
        <rFont val="Aptos Narrow"/>
        <family val="2"/>
        <scheme val="minor"/>
      </rPr>
      <t>Información sobre el sistema para registrar los pagos a profesionales que brindan asistencias médicas en  instituciónes, de parte de terceros.</t>
    </r>
  </si>
  <si>
    <r>
      <rPr>
        <b/>
        <sz val="11"/>
        <color rgb="FF000000"/>
        <rFont val="Aptos Narrow"/>
        <family val="2"/>
      </rPr>
      <t xml:space="preserve">Capacitaciones
</t>
    </r>
    <r>
      <rPr>
        <sz val="11"/>
        <color rgb="FF000000"/>
        <rFont val="Aptos Narrow"/>
        <family val="2"/>
      </rPr>
      <t>Capacitaciones en diferentes modalidades y  Cultura Tributaria sobre temas relacionados a Terceras Personas.</t>
    </r>
  </si>
  <si>
    <t>https://portal.sat.gob.gt/portal/contacto/consultas-legales/</t>
  </si>
  <si>
    <r>
      <rPr>
        <b/>
        <sz val="11"/>
        <color rgb="FF000000"/>
        <rFont val="Aptos Narrow"/>
        <family val="2"/>
        <scheme val="minor"/>
      </rPr>
      <t>Consultas Legales</t>
    </r>
    <r>
      <rPr>
        <sz val="11"/>
        <color rgb="FF000000"/>
        <rFont val="Aptos Narrow"/>
        <family val="2"/>
        <scheme val="minor"/>
      </rPr>
      <t xml:space="preserve">
</t>
    </r>
    <r>
      <rPr>
        <sz val="11"/>
        <color rgb="FF000000"/>
        <rFont val="Aptos Narrow"/>
        <family val="2"/>
        <scheme val="minor"/>
      </rPr>
      <t>Formulario y documentos para obtener orientación legal de la SAT</t>
    </r>
  </si>
  <si>
    <t>https://portal.sat.gob.gt/portal/criterios-institucionales/</t>
  </si>
  <si>
    <r>
      <rPr>
        <b/>
        <sz val="11"/>
        <color rgb="FF000000"/>
        <rFont val="Aptos Narrow"/>
        <family val="2"/>
        <scheme val="minor"/>
      </rPr>
      <t xml:space="preserve">Criterios Institucionales
</t>
    </r>
    <r>
      <rPr>
        <sz val="11"/>
        <color rgb="FF000000"/>
        <rFont val="Aptos Narrow"/>
        <family val="2"/>
        <scheme val="minor"/>
      </rPr>
      <t>Histórico y normativa que crea y regula el funcionamiento de la Junta de Criterios Tributarios de la Superintendencia de Administración Tributaria.</t>
    </r>
  </si>
  <si>
    <r>
      <rPr>
        <b/>
        <sz val="11"/>
        <color rgb="FF000000"/>
        <rFont val="Aptos Narrow"/>
        <family val="2"/>
        <scheme val="minor"/>
      </rPr>
      <t xml:space="preserve">Declaración Anticipada
</t>
    </r>
    <r>
      <rPr>
        <sz val="11"/>
        <color rgb="FF000000"/>
        <rFont val="Aptos Narrow"/>
        <family val="2"/>
        <scheme val="minor"/>
      </rPr>
      <t>Información, resoluciones y procedimiento de orientación para la implementación de la declaración anticipada, así como peguntas frecuentes.</t>
    </r>
  </si>
  <si>
    <t>https://portal.sat.gob.gt/portal/biblioteca-en-linea-sat/software/</t>
  </si>
  <si>
    <r>
      <rPr>
        <b/>
        <sz val="11"/>
        <color rgb="FF000000"/>
        <rFont val="Aptos Narrow"/>
        <family val="2"/>
        <scheme val="minor"/>
      </rPr>
      <t xml:space="preserve">Descarga de Aplicaciones
</t>
    </r>
    <r>
      <rPr>
        <sz val="11"/>
        <color rgb="FF000000"/>
        <rFont val="Aptos Narrow"/>
        <family val="2"/>
        <scheme val="minor"/>
      </rPr>
      <t>Información y descarga de AsisteLight, AsisteLibros2, RetenISR, Traspaso Electrónico por Notario y Reporte Semestral de Inventario. Informes del Impuesto Sobre la Renta anual de maquilas.</t>
    </r>
  </si>
  <si>
    <t>https://portal.sat.gob.gt/portal/estadisticas-tributarias-sat/</t>
  </si>
  <si>
    <r>
      <rPr>
        <b/>
        <sz val="11"/>
        <color rgb="FF000000"/>
        <rFont val="Aptos Narrow"/>
        <family val="2"/>
        <scheme val="minor"/>
      </rPr>
      <t>Estadísticas Tributarias SAT</t>
    </r>
    <r>
      <rPr>
        <sz val="11"/>
        <color rgb="FF000000"/>
        <rFont val="Aptos Narrow"/>
        <family val="2"/>
        <scheme val="minor"/>
      </rPr>
      <t xml:space="preserve">
</t>
    </r>
    <r>
      <rPr>
        <sz val="11"/>
        <color rgb="FF000000"/>
        <rFont val="Aptos Narrow"/>
        <family val="2"/>
        <scheme val="minor"/>
      </rPr>
      <t>Información de carácter estadístico y puede ser utilizada con fines de análisis tributario;</t>
    </r>
  </si>
  <si>
    <t>https://portal.sat.gob.gt/portal/gestores-tributarios/</t>
  </si>
  <si>
    <r>
      <rPr>
        <b/>
        <sz val="11"/>
        <color rgb="FF000000"/>
        <rFont val="Aptos Narrow"/>
        <family val="2"/>
        <scheme val="minor"/>
      </rPr>
      <t>Gestores Tributarios</t>
    </r>
    <r>
      <rPr>
        <sz val="11"/>
        <color rgb="FF000000"/>
        <rFont val="Aptos Narrow"/>
        <family val="2"/>
        <scheme val="minor"/>
      </rPr>
      <t xml:space="preserve">
Requisitos, consultas, manuales, resoluciones y boletin relacionados al perfil de Gestor Tributario.</t>
    </r>
  </si>
  <si>
    <r>
      <t>Listado de Contribuyentes Morosos</t>
    </r>
    <r>
      <rPr>
        <sz val="11"/>
        <color rgb="FF000000"/>
        <rFont val="Aptos Narrow"/>
        <family val="2"/>
      </rPr>
      <t xml:space="preserve">
Expedientes con adeudo tributario en fase judicial, Intendencia de Asuntos Jurídicos</t>
    </r>
  </si>
  <si>
    <t>https://portal.sat.gob.gt/portal/lista-general-de-formularios/</t>
  </si>
  <si>
    <r>
      <rPr>
        <b/>
        <sz val="11"/>
        <color rgb="FF000000"/>
        <rFont val="Aptos Narrow"/>
        <family val="2"/>
        <scheme val="minor"/>
      </rPr>
      <t xml:space="preserve">Listado de Formularios
</t>
    </r>
    <r>
      <rPr>
        <sz val="11"/>
        <color rgb="FF000000"/>
        <rFont val="Aptos Narrow"/>
        <family val="2"/>
        <scheme val="minor"/>
      </rPr>
      <t>Información sobre los formularios impresos en papel y electrónicos para trámites y pagos de impuestos.</t>
    </r>
  </si>
  <si>
    <t>https://portal.sat.gob.gt/portal/memoria-de-labores/</t>
  </si>
  <si>
    <r>
      <rPr>
        <b/>
        <sz val="11"/>
        <color rgb="FF000000"/>
        <rFont val="Aptos Narrow"/>
        <family val="2"/>
        <scheme val="minor"/>
      </rPr>
      <t xml:space="preserve">Memoria de Labores SAT
</t>
    </r>
    <r>
      <rPr>
        <sz val="11"/>
        <color rgb="FF000000"/>
        <rFont val="Aptos Narrow"/>
        <family val="2"/>
        <scheme val="minor"/>
      </rPr>
      <t>Informes de memoria de labores de la Superintendencia de Administración Tributaria.</t>
    </r>
  </si>
  <si>
    <r>
      <t xml:space="preserve">Operador Económico Autorizado
</t>
    </r>
    <r>
      <rPr>
        <sz val="11"/>
        <color theme="1"/>
        <rFont val="Aptos Narrow"/>
        <family val="2"/>
      </rPr>
      <t>Información sobre proceso de habilitación, marco normativo, controles administrativos y operacionales, actores OEA habilitados, documentos generales, manuales e instructivos del operador económico autorizado.</t>
    </r>
  </si>
  <si>
    <t>https://portal.sat.gob.gt/portal/orientacion-legal/</t>
  </si>
  <si>
    <r>
      <rPr>
        <b/>
        <sz val="11"/>
        <color rgb="FF000000"/>
        <rFont val="Aptos Narrow"/>
        <family val="2"/>
        <scheme val="minor"/>
      </rPr>
      <t xml:space="preserve">Orientación Legal y Derechos del Contribuyente
</t>
    </r>
    <r>
      <rPr>
        <sz val="11"/>
        <color rgb="FF000000"/>
        <rFont val="Aptos Narrow"/>
        <family val="2"/>
        <scheme val="minor"/>
      </rPr>
      <t>Documentos técnicos e infografías de orientación legal para contribuyentes.</t>
    </r>
  </si>
  <si>
    <r>
      <rPr>
        <b/>
        <sz val="11"/>
        <color rgb="FF000000"/>
        <rFont val="Aptos Narrow"/>
        <family val="2"/>
        <scheme val="minor"/>
      </rPr>
      <t xml:space="preserve">Solicitar NIT
</t>
    </r>
    <r>
      <rPr>
        <sz val="11"/>
        <color rgb="FF000000"/>
        <rFont val="Aptos Narrow"/>
        <family val="2"/>
        <scheme val="minor"/>
      </rPr>
      <t>Proceso para el registro como nuevo contribuyente en la Superintendencia de Administración Tributaria.</t>
    </r>
  </si>
  <si>
    <t>https://portal.sat.gob.gt/portal/preguntas-frecuentes/</t>
  </si>
  <si>
    <r>
      <rPr>
        <b/>
        <sz val="11"/>
        <color rgb="FF000000"/>
        <rFont val="Aptos Narrow"/>
        <family val="2"/>
        <scheme val="minor"/>
      </rPr>
      <t xml:space="preserve">Preguntas Frecuentes
</t>
    </r>
    <r>
      <rPr>
        <sz val="11"/>
        <color rgb="FF000000"/>
        <rFont val="Aptos Narrow"/>
        <family val="2"/>
        <scheme val="minor"/>
      </rPr>
      <t>Preguntas frecuentes y respuestas sobre: Contribuyentes Especiales, Cumplimiento Tributario, Gestiones en Linea, Información de Contribuyentes, Temas Aduaneros, Temas de Vehículos, Temas Jurídicos y Decreto 31-2024 Ley para la Integración del Sector Productivo Primario y Agropecuario.</t>
    </r>
  </si>
  <si>
    <r>
      <t>Observaciones y recomendaciones a procedimientos de la Intedencia de Asuntos Jurídicos</t>
    </r>
    <r>
      <rPr>
        <sz val="11"/>
        <color rgb="FF000000"/>
        <rFont val="Aptos Narrow"/>
        <family val="2"/>
      </rPr>
      <t xml:space="preserve">
Sección a visualizar los procedimientos de SAT en proceso de creación o actualización,  donde se puede objetar y recomendar previo a su aprobación.</t>
    </r>
  </si>
  <si>
    <r>
      <t xml:space="preserve">Declaración de mercancías
</t>
    </r>
    <r>
      <rPr>
        <sz val="11"/>
        <color theme="1"/>
        <rFont val="Aptos Narrow"/>
        <family val="2"/>
      </rPr>
      <t>Información sobre  la declaración única centroamericana DUCA, declaración única aduanera, aduana sin papeles y su instructivo, codificación de documentos digitalizados y la declaración de valor.</t>
    </r>
  </si>
  <si>
    <t>https://portal.sat.gob.gt/portal/requisitos-tramites-notarios/</t>
  </si>
  <si>
    <r>
      <t xml:space="preserve">Requisitos para Trámites de Notarios
</t>
    </r>
    <r>
      <rPr>
        <sz val="11"/>
        <color rgb="FF000000"/>
        <rFont val="Aptos Narrow"/>
        <family val="2"/>
      </rPr>
      <t>Requisitos para avisos, inscripciones, registro, activaciones de abogados, notarios y tercera persona autorizada en el Registro Fiscal de Vehículos. Confirmación de huella en el Registro de Abogados y Notarios</t>
    </r>
    <r>
      <rPr>
        <b/>
        <sz val="11"/>
        <color rgb="FF000000"/>
        <rFont val="Aptos Narrow"/>
        <family val="2"/>
      </rPr>
      <t>.</t>
    </r>
  </si>
  <si>
    <t>https://portal.sat.gob.gt/portal/requisitos-de-vehiculos/#1541776888584-73400ddd-b78d</t>
  </si>
  <si>
    <r>
      <rPr>
        <b/>
        <sz val="11"/>
        <color rgb="FF000000"/>
        <rFont val="Aptos Narrow"/>
        <family val="2"/>
        <scheme val="minor"/>
      </rPr>
      <t xml:space="preserve">Requisitos para las gestiones de Gestores Tributarios
</t>
    </r>
    <r>
      <rPr>
        <sz val="11"/>
        <color rgb="FF000000"/>
        <rFont val="Aptos Narrow"/>
        <family val="2"/>
        <scheme val="minor"/>
      </rPr>
      <t>Requisitos para las solicitudes de Gestor Tributario o Auxiliar de Gestor Tributario, actualización de información, reposición y renovación de gafete y habilitación e inhabilitación temporal o permanente de gestor Tributario y/o Auxiliar de Gestor Tributario. Resoluciones y Reformas que amparan la figura de Gestor Tributario. Manual herramienta electrónica. Consulta de datos de Gestores Tributarios y Auxiliares activos.</t>
    </r>
  </si>
  <si>
    <r>
      <rPr>
        <b/>
        <sz val="11"/>
        <color rgb="FF000000"/>
        <rFont val="Aptos Narrow"/>
        <family val="2"/>
        <scheme val="minor"/>
      </rPr>
      <t xml:space="preserve">Factura Electrónica
</t>
    </r>
    <r>
      <rPr>
        <sz val="11"/>
        <color rgb="FF000000"/>
        <rFont val="Aptos Narrow"/>
        <family val="2"/>
        <scheme val="minor"/>
      </rPr>
      <t>Todo lo relacionado con la emisión, certificador, documentación técnica, auditor del certificador, gráficos y preguntas frecuentes del Régimen de Factura Electrónica en Línea.</t>
    </r>
  </si>
  <si>
    <t>https://portal.sat.gob.gt/portal/sistemas-web/retencioneswebict/</t>
  </si>
  <si>
    <r>
      <rPr>
        <b/>
        <sz val="11"/>
        <color rgb="FF000000"/>
        <rFont val="Aptos Narrow"/>
        <family val="2"/>
        <scheme val="minor"/>
      </rPr>
      <t xml:space="preserve">Sistema Retenciones Web -ICT-
</t>
    </r>
    <r>
      <rPr>
        <sz val="11"/>
        <color rgb="FF000000"/>
        <rFont val="Aptos Narrow"/>
        <family val="2"/>
        <scheme val="minor"/>
      </rPr>
      <t>Información y documentación de soporte sobre el  sistema que tienen a disposición todas las personas individuales o jurídicas afiliadas al Impuesto a la Confianza Tributaria.</t>
    </r>
  </si>
  <si>
    <t>https://portal.sat.gob.gt/portal/requisitos-tramites-agencias/solicitud-de-registro-de-personas-exentas-del-impuesto-a-la-distribucion-de-petroleo-crudo-y-combustibles-derivados-del-petroleo/</t>
  </si>
  <si>
    <r>
      <rPr>
        <b/>
        <sz val="11"/>
        <color rgb="FF000000"/>
        <rFont val="Aptos Narrow"/>
        <family val="2"/>
        <scheme val="minor"/>
      </rPr>
      <t xml:space="preserve">Requisitos para el Registro y Emisión de Autorización de la Superintendencia de Administración Tributaria al Impuesto a la Distribución de Petróleo Crudo y Combustible Derivados del Petróleo
</t>
    </r>
    <r>
      <rPr>
        <sz val="11"/>
        <color rgb="FF000000"/>
        <rFont val="Aptos Narrow"/>
        <family val="2"/>
        <scheme val="minor"/>
      </rPr>
      <t>Requisitos, listado de pasos y casos especiales.</t>
    </r>
  </si>
  <si>
    <r>
      <rPr>
        <sz val="11"/>
        <color rgb="FF000000"/>
        <rFont val="Aptos Narrow"/>
        <family val="2"/>
        <scheme val="minor"/>
      </rPr>
      <t xml:space="preserve">
</t>
    </r>
    <r>
      <rPr>
        <b/>
        <sz val="11"/>
        <color rgb="FF000000"/>
        <rFont val="Aptos Narrow"/>
        <family val="2"/>
        <scheme val="minor"/>
      </rPr>
      <t xml:space="preserve">Requisitos gestiones vehículos para Notarios
</t>
    </r>
    <r>
      <rPr>
        <sz val="11"/>
        <color rgb="FF000000"/>
        <rFont val="Aptos Narrow"/>
        <family val="2"/>
        <scheme val="minor"/>
      </rPr>
      <t>Verifica los requisitos indispensables como notario para realizar tus gestiones</t>
    </r>
  </si>
  <si>
    <t>Cantidad de páginas que consumen por igual 4/6  de los grupos de interés</t>
  </si>
  <si>
    <t>Cantidad de páginas que consumen por igual 3/6  de los grupos de interés</t>
  </si>
  <si>
    <t>Cantidad de páginas que consumen por igual 2/6  de los grupos de interés</t>
  </si>
  <si>
    <r>
      <rPr>
        <b/>
        <sz val="11"/>
        <color rgb="FF000000"/>
        <rFont val="Aptos Narrow"/>
        <family val="2"/>
      </rPr>
      <t xml:space="preserve">Capacitaciones
</t>
    </r>
    <r>
      <rPr>
        <sz val="11"/>
        <color rgb="FF000000"/>
        <rFont val="Aptos Narrow"/>
        <family val="2"/>
      </rPr>
      <t>Capacitaciones en diferentes modalidades y  Cultura Tributaria sobre temas relacionados a Auxiliares de la Función Pública.</t>
    </r>
  </si>
  <si>
    <r>
      <rPr>
        <b/>
        <sz val="11"/>
        <color rgb="FF000000"/>
        <rFont val="Aptos Narrow"/>
        <family val="2"/>
        <scheme val="minor"/>
      </rPr>
      <t xml:space="preserve">Declaración Anticipada
</t>
    </r>
    <r>
      <rPr>
        <sz val="11"/>
        <color rgb="FF000000"/>
        <rFont val="Aptos Narrow"/>
        <family val="2"/>
        <scheme val="minor"/>
      </rPr>
      <t>Información, resoluciones y procedimiento de orientación para la implementación de la declaración anticipada. Preguntas frecuentes.</t>
    </r>
  </si>
  <si>
    <t>https://portal.sat.gob.gt/portal/biblioteca-en-linea-sat/archivo-de-documentos/</t>
  </si>
  <si>
    <r>
      <rPr>
        <b/>
        <sz val="11"/>
        <color rgb="FF000000"/>
        <rFont val="Aptos Narrow"/>
        <family val="2"/>
        <scheme val="minor"/>
      </rPr>
      <t xml:space="preserve">Repositorio Virtual
</t>
    </r>
    <r>
      <rPr>
        <sz val="11"/>
        <color rgb="FF000000"/>
        <rFont val="Aptos Narrow"/>
        <family val="2"/>
        <scheme val="minor"/>
      </rPr>
      <t>Información, manuales, procedimientos, acuerdos  y resolución de las diferentes dependencias de SAT.</t>
    </r>
  </si>
  <si>
    <r>
      <rPr>
        <b/>
        <sz val="11"/>
        <color rgb="FF000000"/>
        <rFont val="Aptos Narrow"/>
        <family val="2"/>
        <scheme val="minor"/>
      </rPr>
      <t xml:space="preserve">Objeciones y Recomendaciones a los procedimientos de la Intendencia de Aduanas
</t>
    </r>
    <r>
      <rPr>
        <sz val="11"/>
        <color rgb="FF000000"/>
        <rFont val="Aptos Narrow"/>
        <family val="2"/>
        <scheme val="minor"/>
      </rPr>
      <t>Sección a visualizar los procedimientos de SAT en proceso de creación o actualización,  donde se puede objetar y recomendar previo a su aprobación.</t>
    </r>
  </si>
  <si>
    <r>
      <t>Declaración de mercancías</t>
    </r>
    <r>
      <rPr>
        <sz val="11"/>
        <color rgb="FF000000"/>
        <rFont val="Aptos Narrow"/>
        <family val="2"/>
      </rPr>
      <t xml:space="preserve">
Información sobre  la declaración única centroamericana DUCA, declaración única aduanera, aduana sin papeles y su instructivo, codificación de documentos digitalizados y la declaración de valor.</t>
    </r>
  </si>
  <si>
    <t>https://portal.sat.gob.gt/portal/procedimientos-aduanas/#1570112086149-de895ac7-a87c</t>
  </si>
  <si>
    <r>
      <rPr>
        <b/>
        <sz val="11"/>
        <color rgb="FF000000"/>
        <rFont val="Aptos Narrow"/>
        <family val="2"/>
        <scheme val="minor"/>
      </rPr>
      <t xml:space="preserve">Auxiliares de la Función Pública Aduanera
</t>
    </r>
    <r>
      <rPr>
        <sz val="11"/>
        <color rgb="FF000000"/>
        <rFont val="Aptos Narrow"/>
        <family val="2"/>
        <scheme val="minor"/>
      </rPr>
      <t>Información sobre quienes se consideran Auxiliares de la Función Pública Aduanera, información y diseño del carné de identificación y maual de usuario para registro, consulta y actualización. Componente ActiveX PKI/DUA.</t>
    </r>
  </si>
  <si>
    <t>https://portal.sat.gob.gt/portal/requisitos-de-aduanas/#1608063945646-f9ebd644-65ff</t>
  </si>
  <si>
    <r>
      <rPr>
        <b/>
        <sz val="11"/>
        <color rgb="FF000000"/>
        <rFont val="Aptos Narrow"/>
        <family val="2"/>
        <scheme val="minor"/>
      </rPr>
      <t xml:space="preserve">Requisitos para la Renovación de Operación de Auxiliares de la Función Publica
</t>
    </r>
    <r>
      <rPr>
        <sz val="11"/>
        <color rgb="FF000000"/>
        <rFont val="Aptos Narrow"/>
        <family val="2"/>
        <scheme val="minor"/>
      </rPr>
      <t>Información sobre la solicitud de renovación de Auxiliares de la Función Pública.</t>
    </r>
  </si>
  <si>
    <t>https://portal.sat.gob.gt/portal/franquicias-electronicas/</t>
  </si>
  <si>
    <t>https://portal.sat.gob.gt/portal/programa-miad/componente-procesos-2/importacion/</t>
  </si>
  <si>
    <r>
      <rPr>
        <b/>
        <sz val="11"/>
        <color rgb="FF000000"/>
        <rFont val="Aptos Narrow"/>
        <family val="2"/>
      </rPr>
      <t xml:space="preserve">Importación
</t>
    </r>
    <r>
      <rPr>
        <sz val="11"/>
        <color rgb="FF000000"/>
        <rFont val="Aptos Narrow"/>
        <family val="2"/>
      </rPr>
      <t>Conceptos Generales sobre importación de mercancias y buenas practicas sugeridas desde la Modernización Integral Aduanera.</t>
    </r>
  </si>
  <si>
    <t>https://portal.sat.gob.gt/portal/programa-miad/sistemas-de-video-vigilancia-cctv/</t>
  </si>
  <si>
    <r>
      <rPr>
        <b/>
        <sz val="11"/>
        <color rgb="FF000000"/>
        <rFont val="Aptos Narrow"/>
        <family val="2"/>
        <scheme val="minor"/>
      </rPr>
      <t xml:space="preserve">Visualización de operaciones en el Puesto Fronterizo Pedro de Alvarado – La Hachadura
</t>
    </r>
    <r>
      <rPr>
        <sz val="11"/>
        <color rgb="FF000000"/>
        <rFont val="Aptos Narrow"/>
        <family val="2"/>
        <scheme val="minor"/>
      </rPr>
      <t>Movimiento de transporte en las aduanas en el marco de la Estrategia Centroamericana de Facilitación de Comercio.</t>
    </r>
  </si>
  <si>
    <t>https://portal.sat.gob.gt/portal/requisitos-tramites-agencias/recepcion-de-seguro-de-caucion-importacion-y-admision-temporal/</t>
  </si>
  <si>
    <r>
      <t xml:space="preserve">Recepción de seguro de caución importacion y admisión temporal
</t>
    </r>
    <r>
      <rPr>
        <sz val="11"/>
        <color rgb="FF000000"/>
        <rFont val="Aptos Narrow"/>
        <family val="2"/>
        <scheme val="minor"/>
      </rPr>
      <t>Requisitos, listado de pasos y casos especiales para Contribuyente, Agente Aduanero, Representante Legal y Mandatario.</t>
    </r>
  </si>
  <si>
    <t>Procuraduría de los Derechos Humanos</t>
  </si>
  <si>
    <r>
      <rPr>
        <b/>
        <sz val="11"/>
        <color rgb="FF000000"/>
        <rFont val="Aptos Narrow"/>
        <family val="2"/>
      </rPr>
      <t xml:space="preserve">Capacitaciones
</t>
    </r>
    <r>
      <rPr>
        <sz val="11"/>
        <color rgb="FF000000"/>
        <rFont val="Aptos Narrow"/>
        <family val="2"/>
      </rPr>
      <t>Capacitaciones en diferentes modalidades y  Cultura Tributaria sobre temas relacionados a Entidad del Estado.</t>
    </r>
  </si>
  <si>
    <t>https://portal.sat.gob.gt/portal/emision-constancias-de-eSIencion-de-iva-civa/</t>
  </si>
  <si>
    <r>
      <t>Emisión Constancias de Exención de IVA -CIVA-</t>
    </r>
    <r>
      <rPr>
        <sz val="11"/>
        <color rgb="FF000000"/>
        <rFont val="Aptos Narrow"/>
        <family val="2"/>
      </rPr>
      <t xml:space="preserve">
Información para contribuyentes exentos (artículo 8 Ley del IVA) generen -CIVA- a través de la Agencia Virtual SAT en Factura Electrónica en Línea -FEL-.</t>
    </r>
  </si>
  <si>
    <t xml:space="preserve">https://portal.sat.gob.gt/portal/efactura/
</t>
  </si>
  <si>
    <r>
      <t>Legislación Tributaria</t>
    </r>
    <r>
      <rPr>
        <sz val="11"/>
        <color rgb="FF000000"/>
        <rFont val="Aptos Narrow"/>
        <family val="2"/>
      </rPr>
      <t xml:space="preserve">
Información sobre Acuerdos y Resoluciones en materia tributaria</t>
    </r>
  </si>
  <si>
    <r>
      <rPr>
        <b/>
        <sz val="11"/>
        <color rgb="FF000000"/>
        <rFont val="Aptos Narrow"/>
        <family val="2"/>
      </rPr>
      <t xml:space="preserve">Legislación Aduanera
</t>
    </r>
    <r>
      <rPr>
        <sz val="11"/>
        <color rgb="FF000000"/>
        <rFont val="Aptos Narrow"/>
        <family val="2"/>
      </rPr>
      <t>Información sobre Acuerdos y Resoluciones en materia aduanera.</t>
    </r>
  </si>
  <si>
    <r>
      <rPr>
        <b/>
        <sz val="11"/>
        <color rgb="FF000000"/>
        <rFont val="Aptos Narrow"/>
        <family val="2"/>
      </rPr>
      <t xml:space="preserve">Planilla IVA-FEL
</t>
    </r>
    <r>
      <rPr>
        <sz val="11"/>
        <color rgb="FF000000"/>
        <rFont val="Aptos Narrow"/>
        <family val="2"/>
      </rPr>
      <t>Información sobre los pasos para presentar tu Planilla de IVA – FEL y manual de uso.</t>
    </r>
  </si>
  <si>
    <r>
      <rPr>
        <b/>
        <sz val="11"/>
        <color rgb="FF000000"/>
        <rFont val="Aptos Narrow"/>
        <family val="2"/>
      </rPr>
      <t xml:space="preserve">Sistema Retenciones Web -ISR-
</t>
    </r>
    <r>
      <rPr>
        <sz val="11"/>
        <color rgb="FF000000"/>
        <rFont val="Aptos Narrow"/>
        <family val="2"/>
      </rPr>
      <t>Información sobre el uso de la herramienta, incorporación, delegación de permisos y manuales de usuario para usuarios del sector público.</t>
    </r>
  </si>
  <si>
    <r>
      <rPr>
        <b/>
        <sz val="11"/>
        <color rgb="FF000000"/>
        <rFont val="Aptos Narrow"/>
        <family val="2"/>
      </rPr>
      <t xml:space="preserve">Tasas e Intereses
</t>
    </r>
    <r>
      <rPr>
        <sz val="11"/>
        <color rgb="FF000000"/>
        <rFont val="Aptos Narrow"/>
        <family val="2"/>
      </rPr>
      <t>Información relacionada a las tasas de intereses que estipula la Junta Monetaria para cada semestre del año, y la tasa de mora correspondiente.</t>
    </r>
  </si>
  <si>
    <r>
      <rPr>
        <b/>
        <sz val="11"/>
        <color rgb="FF000000"/>
        <rFont val="Aptos Narrow"/>
        <family val="2"/>
      </rPr>
      <t xml:space="preserve">Observaciones y recomendaciones a procedimientos de la Intedencia de Asuntos Jurídicos
</t>
    </r>
    <r>
      <rPr>
        <sz val="11"/>
        <color rgb="FF000000"/>
        <rFont val="Aptos Narrow"/>
        <family val="2"/>
      </rPr>
      <t>Sección a visualizar los procedimientos de SAT en proceso de creación o actualización,  donde se puede objetar y recomendar previo a su aprobación.</t>
    </r>
  </si>
  <si>
    <t xml:space="preserve">https://portal.sat.gob.gt/portal/requisitos-de-personas-empresas/#1544737166940-7b221c49-789f
</t>
  </si>
  <si>
    <t>https://portal.sat.gob.gt/portal/requisitos-de-vehiculos/</t>
  </si>
  <si>
    <r>
      <rPr>
        <b/>
        <sz val="11"/>
        <color rgb="FF000000"/>
        <rFont val="Aptos Narrow"/>
        <family val="2"/>
      </rPr>
      <t xml:space="preserve">Requisitos para Gestiones de vehículos
</t>
    </r>
    <r>
      <rPr>
        <sz val="11"/>
        <color rgb="FF000000"/>
        <rFont val="Aptos Narrow"/>
        <family val="2"/>
      </rPr>
      <t>Requisitos para activar e inactivar vehículos.</t>
    </r>
  </si>
  <si>
    <t>Contribuyentes</t>
  </si>
  <si>
    <t>Operadores de Comercio Exterior</t>
  </si>
  <si>
    <t xml:space="preserve">Profesionales </t>
  </si>
  <si>
    <t>Entes exentos</t>
  </si>
  <si>
    <t>SUBGRUPOS</t>
  </si>
  <si>
    <t>MACROGRUPOS</t>
  </si>
  <si>
    <t>Categoria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</si>
</sst>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Display"/>
      <family val="2"/>
      <scheme val="major"/>
    </font>
    <font>
      <b/>
      <sz val="11"/>
      <name val="Aptos Narrow"/>
      <family val="2"/>
    </font>
    <font>
      <b/>
      <sz val="10"/>
      <color theme="0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b/>
      <sz val="10"/>
      <color theme="0"/>
      <name val="Aptos Display"/>
      <family val="2"/>
      <scheme val="major"/>
    </font>
    <font>
      <b/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 style="thin">
        <color theme="4" tint="0.3999755851924192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44B3E1"/>
      </right>
      <top/>
      <bottom style="thin">
        <color rgb="FF44B3E1"/>
      </bottom>
      <diagonal/>
    </border>
    <border>
      <left/>
      <right/>
      <top style="thin">
        <color rgb="FF44B3E1"/>
      </top>
      <bottom/>
      <diagonal/>
    </border>
    <border>
      <left/>
      <right style="thin">
        <color rgb="FF44B3E1"/>
      </right>
      <top style="thin">
        <color theme="4" tint="0.39997558519241921"/>
      </top>
      <bottom style="thin">
        <color rgb="FF44B3E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</borders>
  <cellStyleXfs count="3">
    <xf numFmtId="0" fontId="0" fillId="0" borderId="0"/>
    <xf numFmtId="0" fontId="1" fillId="0" borderId="0"/>
    <xf numFmtId="0" fontId="1" fillId="0" borderId="0" applyNumberFormat="0" applyFill="0" applyBorder="0" applyAlignment="0" applyProtection="0"/>
  </cellStyleXfs>
  <cellXfs count="173">
    <xf numFmtId="0" fontId="0" fillId="0" borderId="0" xfId="0"/>
    <xf numFmtId="0" fontId="0" fillId="0" borderId="1" xfId="0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0" fillId="0" borderId="0" xfId="0" applyAlignment="1">
      <alignment horizontal="center"/>
    </xf>
    <xf numFmtId="0" fontId="9" fillId="7" borderId="0" xfId="0" applyFont="1" applyFill="1" applyAlignment="1">
      <alignment vertical="center"/>
    </xf>
    <xf numFmtId="0" fontId="11" fillId="7" borderId="0" xfId="0" applyFont="1" applyFill="1"/>
    <xf numFmtId="0" fontId="10" fillId="7" borderId="0" xfId="0" applyFont="1" applyFill="1" applyAlignment="1">
      <alignment vertical="center"/>
    </xf>
    <xf numFmtId="0" fontId="0" fillId="8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11" fillId="9" borderId="0" xfId="0" applyFont="1" applyFill="1"/>
    <xf numFmtId="0" fontId="18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2" fillId="7" borderId="0" xfId="0" applyFont="1" applyFill="1" applyAlignment="1">
      <alignment vertical="center"/>
    </xf>
    <xf numFmtId="0" fontId="14" fillId="3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0" fillId="0" borderId="3" xfId="1" applyFont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0" xfId="2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22" xfId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1" fillId="0" borderId="25" xfId="1" applyBorder="1" applyAlignment="1">
      <alignment horizontal="center" vertical="center" wrapText="1"/>
    </xf>
    <xf numFmtId="0" fontId="1" fillId="0" borderId="23" xfId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" fillId="0" borderId="0" xfId="2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" fillId="0" borderId="0" xfId="2" applyBorder="1" applyAlignment="1">
      <alignment horizontal="center" vertical="center" wrapText="1"/>
    </xf>
    <xf numFmtId="0" fontId="1" fillId="0" borderId="0" xfId="2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 wrapText="1"/>
    </xf>
    <xf numFmtId="0" fontId="1" fillId="0" borderId="3" xfId="2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2" xfId="2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2" xfId="2" applyFill="1" applyBorder="1" applyAlignment="1">
      <alignment horizontal="center" vertical="center"/>
    </xf>
    <xf numFmtId="0" fontId="1" fillId="0" borderId="0" xfId="2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1" fillId="0" borderId="3" xfId="2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1" fillId="0" borderId="7" xfId="2" applyBorder="1" applyAlignment="1">
      <alignment horizontal="center" vertical="center" wrapText="1"/>
    </xf>
    <xf numFmtId="0" fontId="1" fillId="0" borderId="0" xfId="1"/>
    <xf numFmtId="0" fontId="23" fillId="0" borderId="0" xfId="0" applyFont="1" applyAlignment="1">
      <alignment horizontal="center" vertical="center" wrapText="1"/>
    </xf>
    <xf numFmtId="0" fontId="1" fillId="0" borderId="24" xfId="2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1" fillId="10" borderId="2" xfId="1" applyFill="1" applyBorder="1" applyAlignment="1">
      <alignment horizontal="center" vertical="center"/>
    </xf>
    <xf numFmtId="0" fontId="20" fillId="10" borderId="0" xfId="0" applyFont="1" applyFill="1" applyAlignment="1">
      <alignment horizontal="center" vertical="center" wrapText="1"/>
    </xf>
    <xf numFmtId="0" fontId="1" fillId="10" borderId="2" xfId="2" applyFill="1" applyBorder="1" applyAlignment="1">
      <alignment horizontal="center" vertical="center"/>
    </xf>
    <xf numFmtId="0" fontId="1" fillId="10" borderId="8" xfId="2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" fillId="10" borderId="3" xfId="1" applyFill="1" applyBorder="1" applyAlignment="1">
      <alignment horizontal="center" vertical="center" wrapText="1"/>
    </xf>
    <xf numFmtId="0" fontId="0" fillId="10" borderId="3" xfId="1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12" borderId="0" xfId="0" applyFill="1"/>
    <xf numFmtId="0" fontId="0" fillId="11" borderId="36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8" fillId="0" borderId="3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1" fillId="12" borderId="0" xfId="1" applyFill="1"/>
    <xf numFmtId="0" fontId="8" fillId="12" borderId="0" xfId="0" applyFont="1" applyFill="1" applyAlignment="1">
      <alignment horizontal="center" vertical="center" wrapText="1"/>
    </xf>
    <xf numFmtId="0" fontId="0" fillId="0" borderId="37" xfId="0" applyFill="1" applyBorder="1" applyAlignment="1">
      <alignment horizontal="center" vertical="center"/>
    </xf>
    <xf numFmtId="0" fontId="1" fillId="0" borderId="16" xfId="1" applyFill="1" applyBorder="1" applyAlignment="1">
      <alignment horizontal="center" vertical="center" wrapText="1"/>
    </xf>
    <xf numFmtId="0" fontId="8" fillId="0" borderId="16" xfId="1" applyFont="1" applyFill="1" applyBorder="1" applyAlignment="1">
      <alignment horizontal="center" vertical="center" wrapText="1"/>
    </xf>
    <xf numFmtId="0" fontId="0" fillId="0" borderId="16" xfId="2" applyFont="1" applyFill="1" applyBorder="1" applyAlignment="1">
      <alignment horizontal="center" vertical="center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top style="thin">
          <color auto="1"/>
        </top>
      </border>
    </dxf>
    <dxf>
      <alignment horizontal="center" vertical="center" wrapText="1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fill>
        <patternFill patternType="solid">
          <fgColor indexed="64"/>
          <bgColor theme="3" tint="9.9978637043366805E-2"/>
        </patternFill>
      </fill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wrapText="1"/>
    </dxf>
    <dxf>
      <alignment horizontal="center" vertical="center"/>
    </dxf>
    <dxf>
      <alignment horizontal="center" vertical="center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fill>
        <patternFill patternType="solid">
          <fgColor indexed="64"/>
          <bgColor theme="3" tint="9.9978637043366805E-2"/>
        </patternFill>
      </fill>
      <alignment horizontal="center" vertical="center"/>
    </dxf>
    <dxf>
      <font>
        <color auto="1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color auto="1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color auto="1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color auto="1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color auto="1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color auto="1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auto="1"/>
        </top>
      </border>
    </dxf>
    <dxf>
      <font>
        <color auto="1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border outline="0">
        <top style="thin">
          <color auto="1"/>
        </top>
      </border>
    </dxf>
    <dxf>
      <alignment horizontal="center" vertical="center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alignment horizontal="center" vertical="center"/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center" vertical="center" wrapText="1"/>
    </dxf>
    <dxf>
      <alignment horizontal="center" vertical="center" wrapText="1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top style="thin">
          <color auto="1"/>
        </top>
      </border>
    </dxf>
    <dxf>
      <alignment horizontal="center" vertical="center" wrapText="1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scheme val="maj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u val="none"/>
        <color theme="1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u val="none"/>
        <color theme="1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fill>
        <patternFill patternType="none"/>
      </fill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scheme val="maj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wrapText="1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749992370372631"/>
        </left>
        <right/>
        <top style="thin">
          <color theme="2" tint="-0.749992370372631"/>
        </top>
        <bottom style="thin">
          <color theme="2" tint="-0.749992370372631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75FFA1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46B06E98-D073-4DD3-B919-2C4B252F1035}">
    <nsvFilter filterId="{222374AD-E4E0-494E-A51B-58F92AF853E6}" ref="B6:H32" tableId="4">
      <sortRules>
        <sortRule colId="1" id="{2B61BCE0-C425-4E09-87D0-6843F2ECA621}">
          <sortCondition ref="C6:C32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17D2A1-8EC0-4A51-9DE0-4B70A48D7952}" name="NITsinObligaciones" displayName="NITsinObligaciones" ref="B6:D29" totalsRowShown="0" headerRowDxfId="97" dataDxfId="96">
  <autoFilter ref="B6:D29" xr:uid="{8317D2A1-8EC0-4A51-9DE0-4B70A48D7952}"/>
  <sortState xmlns:xlrd2="http://schemas.microsoft.com/office/spreadsheetml/2017/richdata2" ref="B7:C28">
    <sortCondition ref="C6:C28"/>
  </sortState>
  <tableColumns count="3">
    <tableColumn id="1" xr3:uid="{5A1D6670-E419-4437-A433-E33F06AF264B}" name="No." dataDxfId="95"/>
    <tableColumn id="2" xr3:uid="{89110D3F-A821-4526-AF5E-9E033465DD73}" name="URL" dataDxfId="94"/>
    <tableColumn id="3" xr3:uid="{F89BC656-1B04-4E05-A933-0ADFF5977092}" name="Descripción" dataDxfId="9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ED02BCB-A2CE-4930-B5CD-DE64BB381D44}" name="Tabla12" displayName="Tabla12" ref="B8:G48" totalsRowShown="0" headerRowDxfId="92" dataDxfId="91" tableBorderDxfId="90">
  <autoFilter ref="B8:G48" xr:uid="{BED02BCB-A2CE-4930-B5CD-DE64BB381D44}"/>
  <sortState xmlns:xlrd2="http://schemas.microsoft.com/office/spreadsheetml/2017/richdata2" ref="B9:G47">
    <sortCondition ref="C8:C47"/>
  </sortState>
  <tableColumns count="6">
    <tableColumn id="1" xr3:uid="{767A47B7-9AB5-4D51-BD85-1BBC2A95FCEE}" name="No" dataDxfId="89"/>
    <tableColumn id="2" xr3:uid="{D6B4C7C3-F4C0-4E87-BA1D-3028DEF1F00A}" name="URL" dataDxfId="88" dataCellStyle="Hipervínculo"/>
    <tableColumn id="3" xr3:uid="{67751C2A-7F0C-4421-9CCC-1CD7F9AF1564}" name="PEQUEÑO CONTRIBUYENTE" dataDxfId="87" dataCellStyle="Hipervínculo"/>
    <tableColumn id="4" xr3:uid="{C7581DB8-795B-4221-9753-1E4391E35D76}" name="PRIMARIO" dataDxfId="86" dataCellStyle="Hyperlink"/>
    <tableColumn id="5" xr3:uid="{0342295C-E380-4303-A618-C61ABF922444}" name="PECUARIOS" dataDxfId="85" dataCellStyle="Hyperlink"/>
    <tableColumn id="6" xr3:uid="{9481E283-44D4-4DFF-B3FA-1762F83A6463}" name="Descripción" dataDxfId="84" dataCellStyle="Hyperli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9CE9DF8-1D68-4BAD-A46D-9FDDB7AC50A8}" name="Tabla11" displayName="Tabla11" ref="B8:F46" totalsRowShown="0" headerRowDxfId="83" dataDxfId="81" headerRowBorderDxfId="82" tableBorderDxfId="80">
  <autoFilter ref="B8:F46" xr:uid="{F9CE9DF8-1D68-4BAD-A46D-9FDDB7AC50A8}"/>
  <tableColumns count="5">
    <tableColumn id="1" xr3:uid="{0D952EF7-CBA9-4CC5-BB0B-8408B0596918}" name="No." dataDxfId="79"/>
    <tableColumn id="2" xr3:uid="{AFB88B6B-E17A-4408-BEA1-682AF6EDAECE}" name="URL" dataDxfId="78"/>
    <tableColumn id="4" xr3:uid="{A9DB6D75-F652-4016-B422-AF1998AEAEB7}" name="Contribuyente General" dataDxfId="77"/>
    <tableColumn id="5" xr3:uid="{CEC02CF2-08D2-4BD5-BA6A-17A69B62E178}" name="Rep. Legales" dataDxfId="76"/>
    <tableColumn id="3" xr3:uid="{15229763-E7F9-4DF3-8FBA-E97E9E44B6A9}" name="Descripción" dataDxfId="7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6FB5DD-19D5-47C5-9D42-A63AA6B4F402}" name="ContribuyentesEspeciales" displayName="ContribuyentesEspeciales" ref="B7:F39" totalsRowShown="0" headerRowDxfId="74" dataDxfId="72" headerRowBorderDxfId="73" tableBorderDxfId="71">
  <autoFilter ref="B7:F39" xr:uid="{716FB5DD-19D5-47C5-9D42-A63AA6B4F402}"/>
  <sortState xmlns:xlrd2="http://schemas.microsoft.com/office/spreadsheetml/2017/richdata2" ref="B8:F39">
    <sortCondition ref="C7:C39"/>
  </sortState>
  <tableColumns count="5">
    <tableColumn id="1" xr3:uid="{CFF10C87-61E5-4200-8EE8-0CE9C6F0EFAF}" name="No." dataDxfId="70"/>
    <tableColumn id="2" xr3:uid="{AC559BC1-A164-45CB-85B0-6262DF3421AF}" name="URL" dataDxfId="69"/>
    <tableColumn id="3" xr3:uid="{A9BC8D4F-9B26-4627-A506-72F9FF34C790}" name="Medianos" dataDxfId="68"/>
    <tableColumn id="4" xr3:uid="{F69B872A-515C-40B6-AC15-E3B68D0A181A}" name="Grandes" dataDxfId="67"/>
    <tableColumn id="5" xr3:uid="{EB1E67F0-C12A-492A-BFF3-761C9D27604A}" name="Descripción" dataDxfId="6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1FFCFA-5189-4FDF-A0A7-8E58261D17BF}" name="Importadores114" displayName="Importadores114" ref="B9:G59" totalsRowShown="0" headerRowDxfId="65" dataDxfId="63" headerRowBorderDxfId="64" tableBorderDxfId="62">
  <autoFilter ref="B9:G59" xr:uid="{37FB1E53-9FCB-4F12-840D-39BECD678BD1}"/>
  <sortState xmlns:xlrd2="http://schemas.microsoft.com/office/spreadsheetml/2017/richdata2" ref="B10:G50">
    <sortCondition ref="C9:C50"/>
  </sortState>
  <tableColumns count="6">
    <tableColumn id="1" xr3:uid="{0F468E4F-5FA7-44A8-9BA3-98AFDD3148D8}" name="No." dataDxfId="61"/>
    <tableColumn id="2" xr3:uid="{790FE4D3-149D-466E-8544-B1637AE0D742}" name="URL" dataDxfId="60"/>
    <tableColumn id="3" xr3:uid="{D23C1675-2864-4860-90BD-59BD013BE69E}" name="Importadores" dataDxfId="59"/>
    <tableColumn id="4" xr3:uid="{42F52839-C013-45F9-962D-67C675B87B19}" name="OEA" dataDxfId="58"/>
    <tableColumn id="5" xr3:uid="{8E61ADB5-88CD-41FB-899D-991BFAFC1FE3}" name="Exportadores" dataDxfId="57"/>
    <tableColumn id="6" xr3:uid="{56917A26-3750-4A74-BC08-1CC7E6043CC4}" name="Descripción" dataDxfId="5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301DE0E-4E6B-45D8-B054-0BF67604D8F4}" name="Exentos16" displayName="Exentos16" ref="B26:I78" totalsRowShown="0" headerRowDxfId="55" dataDxfId="53" headerRowBorderDxfId="54" tableBorderDxfId="52">
  <autoFilter ref="B26:I78" xr:uid="{98D1CE05-CA1B-4D75-BC60-F97FF205EC3A}"/>
  <tableColumns count="8">
    <tableColumn id="1" xr3:uid="{DE94BF60-016B-4426-80BC-B01C0B1BF5D0}" name="No." dataDxfId="51"/>
    <tableColumn id="2" xr3:uid="{CECBE056-61A9-4E48-9F95-3942A068718C}" name="URL" dataDxfId="50"/>
    <tableColumn id="3" xr3:uid="{5A726070-C670-4EE2-9FA0-E8BBFB480E19}" name="Constitucionales" dataDxfId="49"/>
    <tableColumn id="4" xr3:uid="{D5FDA434-1A2E-4CFD-AEBF-C8F8AF2DA6C9}" name="No Lucrativos" dataDxfId="48"/>
    <tableColumn id="5" xr3:uid="{61BD1708-5780-49F5-B5A5-D6B1DA4E4CE7}" name="Decreto" dataDxfId="47"/>
    <tableColumn id="7" xr3:uid="{BBD488E3-7C5F-4040-9A5D-C350078BB39E}" name="ZOLIC" dataDxfId="46"/>
    <tableColumn id="6" xr3:uid="{09D5D8BB-C71C-4F17-B299-F18B655BF3E0}" name="Municipalidades" dataDxfId="45"/>
    <tableColumn id="8" xr3:uid="{B864833A-BA14-4216-A4D5-D2503B4F14A9}" name="Descripción" dataDxfId="4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9006721-6AA0-44B3-BF5E-B52AC024252A}" name="TercerasPersonas14" displayName="TercerasPersonas14" ref="B11:I64" totalsRowShown="0" headerRowDxfId="43" dataDxfId="41" headerRowBorderDxfId="42" tableBorderDxfId="40">
  <autoFilter ref="B11:I64" xr:uid="{93ACB438-B465-4FFD-AD9C-64EC9C964950}"/>
  <tableColumns count="8">
    <tableColumn id="1" xr3:uid="{127F13B4-2E79-49C2-B40B-C9F3366A6561}" name="No." dataDxfId="39"/>
    <tableColumn id="2" xr3:uid="{31F6ADE7-526C-4AF7-93CF-CF43E3BB93E2}" name="URL" dataDxfId="38"/>
    <tableColumn id="3" xr3:uid="{BDBF263F-6ABF-4B80-B1CF-B95F0EF96FFD}" name="Gestores Tributarios" dataDxfId="37"/>
    <tableColumn id="4" xr3:uid="{70155FEA-ED07-4E2E-91EB-294AA2D38E2E}" name="Auxiliar Tributario" dataDxfId="36"/>
    <tableColumn id="5" xr3:uid="{6C424FBC-B486-42C4-8679-7EC4CF4C2227}" name="Abogados y Notarios" dataDxfId="35"/>
    <tableColumn id="6" xr3:uid="{E5F1CA05-DDDA-43E4-93D6-A2CD9F93EB59}" name="Peritos Contadores" dataDxfId="34"/>
    <tableColumn id="8" xr3:uid="{C71383CB-1CFC-4908-B287-837EE906E08E}" name="Auditores" dataDxfId="33"/>
    <tableColumn id="7" xr3:uid="{3A05D296-B66B-4A73-8283-61ED22CF3ACD}" name="Descripción" dataDxfId="3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ECBB921-F457-4979-B971-CE1DC7D1A8C7}" name="AuxiliaresFunciónPública15" displayName="AuxiliaresFunciónPública15" ref="B11:M64" totalsRowShown="0" headerRowDxfId="31" dataDxfId="29" headerRowBorderDxfId="30" tableBorderDxfId="28">
  <autoFilter ref="B11:M64" xr:uid="{8EC887A1-B24F-4119-8DB9-D1548B574B66}"/>
  <tableColumns count="12">
    <tableColumn id="1" xr3:uid="{125D3D9C-8B76-4082-9F12-1070D2ED06E0}" name="No." dataDxfId="27"/>
    <tableColumn id="2" xr3:uid="{C5715D84-B484-497A-B981-BD2A0BD9932E}" name="URL" dataDxfId="26"/>
    <tableColumn id="3" xr3:uid="{115AE2C1-48A9-4F10-A8C9-97C71D358507}" name="Courier" dataDxfId="25"/>
    <tableColumn id="4" xr3:uid="{8DFDB894-419E-46B2-BA26-C5F44803A9A5}" name="Consolidadores y Desconsolidadores de Carga" dataDxfId="24"/>
    <tableColumn id="6" xr3:uid="{BA9EC6F9-5846-4A27-A7BD-9C05FDE663A0}" name="Almacenes Fiscales" dataDxfId="23"/>
    <tableColumn id="11" xr3:uid="{6C1AEDA0-EC3D-4E9B-96A2-B89B23198EA8}" name="Almacenadoras" dataDxfId="22"/>
    <tableColumn id="7" xr3:uid="{2DBFE445-1965-4AD1-B1B4-32BB03746E6A}" name="Depósitos Aduaneros" dataDxfId="21"/>
    <tableColumn id="8" xr3:uid="{C9B735C9-8611-43E2-8D06-9C74CE4D73DB}" name="ZDEEP" dataDxfId="20"/>
    <tableColumn id="9" xr3:uid="{6BFE7B5E-C9C3-44F6-A7A7-565177DECC45}" name="Agentes Aduaneros" dataDxfId="19"/>
    <tableColumn id="10" xr3:uid="{3BAD0A22-151C-4D0F-B9A4-CB49A5D581FB}" name="Transportistas" dataDxfId="18"/>
    <tableColumn id="12" xr3:uid="{CAA6D974-38F4-478C-9FEE-83A6DAD53456}" name="Apoderado Especial Aduanero" dataDxfId="17"/>
    <tableColumn id="5" xr3:uid="{80E66D8E-FF54-4D26-96EC-C9906B7B8C3B}" name="Descripción" dataDxfId="1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DFD0A0-2009-4566-A3A0-3746A6DED2D4}" name="EntidadesEstado5" displayName="EntidadesEstado5" ref="B6:H32" totalsRowShown="0" headerRowDxfId="15" dataDxfId="13" headerRowBorderDxfId="14" tableBorderDxfId="12">
  <autoFilter ref="B6:H32" xr:uid="{222374AD-E4E0-494E-A51B-58F92AF853E6}"/>
  <tableColumns count="7">
    <tableColumn id="1" xr3:uid="{030EA535-EA60-4882-9C6B-92C46619EADA}" name="No." dataDxfId="11"/>
    <tableColumn id="2" xr3:uid="{2B61BCE0-C425-4E09-87D0-6843F2ECA621}" name="URL" dataDxfId="10"/>
    <tableColumn id="3" xr3:uid="{5E36E1D5-79AE-4E33-BB36-36925E3542E5}" name="Organismo Judicial" dataDxfId="9"/>
    <tableColumn id="5" xr3:uid="{C6AB79AC-017A-4BFE-AEB9-E752FD99692D}" name="Ministerio Público" dataDxfId="8"/>
    <tableColumn id="6" xr3:uid="{D9012D3B-B446-4B0B-9260-240BBAAB268E}" name="SENABED / CONABED" dataDxfId="7"/>
    <tableColumn id="8" xr3:uid="{84B74712-95B9-41F6-8283-942098065A6C}" name="Procuraduría de los Derechos Humanos" dataDxfId="6"/>
    <tableColumn id="4" xr3:uid="{632140B4-4D91-45DE-BBA4-5E6F4A704B7D}" name="Descripción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ortal.sat.gob.gt/portal/planilla-iva-fel/" TargetMode="External"/><Relationship Id="rId13" Type="http://schemas.openxmlformats.org/officeDocument/2006/relationships/hyperlink" Target="https://portal.sat.gob.gt/portal/distintivos-electronicos/" TargetMode="External"/><Relationship Id="rId18" Type="http://schemas.openxmlformats.org/officeDocument/2006/relationships/hyperlink" Target="https://portal.sat.gob.gt/portal/requisitos-de-vehiculos/" TargetMode="External"/><Relationship Id="rId3" Type="http://schemas.openxmlformats.org/officeDocument/2006/relationships/hyperlink" Target="https://portal.sat.gob.gt/portal/requisitos-de-vehiculos/" TargetMode="External"/><Relationship Id="rId21" Type="http://schemas.openxmlformats.org/officeDocument/2006/relationships/hyperlink" Target="https://portal.sat.gob.gt/portal/" TargetMode="External"/><Relationship Id="rId7" Type="http://schemas.openxmlformats.org/officeDocument/2006/relationships/hyperlink" Target="https://farm3.sat.gob.gt/menu/login.jsf" TargetMode="External"/><Relationship Id="rId12" Type="http://schemas.openxmlformats.org/officeDocument/2006/relationships/hyperlink" Target="https://portal.sat.gob.gt/portal/requisitos-tramites-agencias/registro-y-habilitacion-de-titulos-para-ejercer-profesion/" TargetMode="External"/><Relationship Id="rId17" Type="http://schemas.openxmlformats.org/officeDocument/2006/relationships/hyperlink" Target="https://portal.sat.gob.gt/portal/requisitos-de-vehiculos/" TargetMode="External"/><Relationship Id="rId2" Type="http://schemas.openxmlformats.org/officeDocument/2006/relationships/hyperlink" Target="https://portal.sat.gob.gt/portal/preguntas-frecuentes/cumplimiento-tributario/" TargetMode="External"/><Relationship Id="rId16" Type="http://schemas.openxmlformats.org/officeDocument/2006/relationships/hyperlink" Target="https://portal.sat.gob.gt/portal/requisitos-de-vehiculos/" TargetMode="External"/><Relationship Id="rId20" Type="http://schemas.openxmlformats.org/officeDocument/2006/relationships/hyperlink" Target="https://portal.sat.gob.gt/portal/libre-acceso-la-informacion-publica/" TargetMode="External"/><Relationship Id="rId1" Type="http://schemas.openxmlformats.org/officeDocument/2006/relationships/hyperlink" Target="https://portal.sat.gob.gt/portal/requisitos-de-personas-empresas/" TargetMode="External"/><Relationship Id="rId6" Type="http://schemas.openxmlformats.org/officeDocument/2006/relationships/hyperlink" Target="https://portal.sat.gob.gt/portal/efactura/" TargetMode="External"/><Relationship Id="rId11" Type="http://schemas.openxmlformats.org/officeDocument/2006/relationships/hyperlink" Target="https://portal.sat.gob.gt/portal/requisitos-tramites-agencias/cita-controlada/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portal.sat.gob.gt/portal/sistemas-web/retencioneswebiva/" TargetMode="External"/><Relationship Id="rId15" Type="http://schemas.openxmlformats.org/officeDocument/2006/relationships/hyperlink" Target="https://portal.sat.gob.gt/portal/requisitos-de-vehiculos/" TargetMode="External"/><Relationship Id="rId23" Type="http://schemas.openxmlformats.org/officeDocument/2006/relationships/hyperlink" Target="https://portal.sat.gob.gt/portal/libro-electronico-tributario/pequeno-contribuyente/" TargetMode="External"/><Relationship Id="rId10" Type="http://schemas.openxmlformats.org/officeDocument/2006/relationships/hyperlink" Target="https://portal.sat.gob.gt/portal/consulta-de-titulos-qr/" TargetMode="External"/><Relationship Id="rId19" Type="http://schemas.openxmlformats.org/officeDocument/2006/relationships/hyperlink" Target="https://portal.sat.gob.gt/portal/requisitos-de-personas-empresas/" TargetMode="External"/><Relationship Id="rId4" Type="http://schemas.openxmlformats.org/officeDocument/2006/relationships/hyperlink" Target="https://portal.sat.gob.gt/portal/solvencia-fiscal/" TargetMode="External"/><Relationship Id="rId9" Type="http://schemas.openxmlformats.org/officeDocument/2006/relationships/hyperlink" Target="https://portal.sat.gob.gt/portal/consulta-de-gestion-del-contribuyente/" TargetMode="External"/><Relationship Id="rId14" Type="http://schemas.openxmlformats.org/officeDocument/2006/relationships/hyperlink" Target="https://portal.sat.gob.gt/portal/preguntas-frecuentes/temas-de-vehiculos/" TargetMode="External"/><Relationship Id="rId22" Type="http://schemas.openxmlformats.org/officeDocument/2006/relationships/hyperlink" Target="https://portal.sat.gob.gt/portal/requisitos-de-vehiculos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portal.sat.gob.gt/portal/preguntas-frecuentes/cumplimiento-tributario/" TargetMode="External"/><Relationship Id="rId18" Type="http://schemas.openxmlformats.org/officeDocument/2006/relationships/hyperlink" Target="https://portal.sat.gob.gt/portal/requisitos-de-personas-empresas/" TargetMode="External"/><Relationship Id="rId26" Type="http://schemas.openxmlformats.org/officeDocument/2006/relationships/hyperlink" Target="https://portal.sat.gob.gt/portal/requisitos-de-personas-empresas/" TargetMode="External"/><Relationship Id="rId39" Type="http://schemas.openxmlformats.org/officeDocument/2006/relationships/hyperlink" Target="https://portal.sat.gob.gt/portal/requisitos-de-personas-empresas/" TargetMode="External"/><Relationship Id="rId21"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/><Relationship Id="rId34" Type="http://schemas.openxmlformats.org/officeDocument/2006/relationships/hyperlink" Target="https://portal.sat.gob.gt/portal/consulta-movimiento-convenio/" TargetMode="External"/><Relationship Id="rId7" Type="http://schemas.openxmlformats.org/officeDocument/2006/relationships/hyperlink" Target="https://portal.sat.gob.gt/portal/requisitos-de-personas-empresas/" TargetMode="External"/><Relationship Id="rId2" Type="http://schemas.openxmlformats.org/officeDocument/2006/relationships/hyperlink" Target="https://portal.sat.gob.gt/portal/requisitos-de-vehiculos/" TargetMode="External"/><Relationship Id="rId16" Type="http://schemas.openxmlformats.org/officeDocument/2006/relationships/hyperlink" Target="https://portal.sat.gob.gt/portal/solvencia-fiscal/" TargetMode="External"/><Relationship Id="rId20" Type="http://schemas.openxmlformats.org/officeDocument/2006/relationships/hyperlink" Target="https://portal.sat.gob.gt/portal/razon-electronica-timbres-fiscales/" TargetMode="External"/><Relationship Id="rId29" Type="http://schemas.openxmlformats.org/officeDocument/2006/relationships/hyperlink" Target="https://portal.sat.gob.gt/portal/consulta-estado-de-cita/" TargetMode="External"/><Relationship Id="rId41" Type="http://schemas.openxmlformats.org/officeDocument/2006/relationships/table" Target="../tables/table2.xml"/><Relationship Id="rId1" Type="http://schemas.openxmlformats.org/officeDocument/2006/relationships/hyperlink" Target="https://portal.sat.gob.gt/portal/requisitos-de-vehiculos/" TargetMode="External"/><Relationship Id="rId6" Type="http://schemas.openxmlformats.org/officeDocument/2006/relationships/hyperlink" Target="https://portal.sat.gob.gt/portal/requisitos-de-personas-empresas/" TargetMode="External"/><Relationship Id="rId11" Type="http://schemas.openxmlformats.org/officeDocument/2006/relationships/hyperlink" Target="https://portal.sat.gob.gt/portal/biblioteca-en-linea-sat/legislacion/" TargetMode="External"/><Relationship Id="rId24" Type="http://schemas.openxmlformats.org/officeDocument/2006/relationships/hyperlink" Target="https://portal.sat.gob.gt/portal/sistemas-web/asistehospitalesweb/" TargetMode="External"/><Relationship Id="rId32" Type="http://schemas.openxmlformats.org/officeDocument/2006/relationships/hyperlink" Target="https://portal.sat.gob.gt/portal/requisitos-de-vehiculos/" TargetMode="External"/><Relationship Id="rId37" Type="http://schemas.openxmlformats.org/officeDocument/2006/relationships/hyperlink" Target="https://portal.sat.gob.gt/portal/requisitos-de-vehiculos/" TargetMode="External"/><Relationship Id="rId40" Type="http://schemas.openxmlformats.org/officeDocument/2006/relationships/hyperlink" Target="https://portal.sat.gob.gt/portal/libro-electronico-tributario/pequeno-contribuyente/" TargetMode="External"/><Relationship Id="rId5" Type="http://schemas.openxmlformats.org/officeDocument/2006/relationships/hyperlink" Target="https://portal.sat.gob.gt/portal/requisitos-tramites-agencias/traspaso-electronico-de-vehiculos-por-notario-con-anexo-del-certificado-de-propiedad-emitido-via-declaraguate-en-agencia-virtual/" TargetMode="External"/><Relationship Id="rId15" Type="http://schemas.openxmlformats.org/officeDocument/2006/relationships/hyperlink" Target="https://portal.sat.gob.gt/portal/libre-acceso-la-informacion-publica/" TargetMode="External"/><Relationship Id="rId23" Type="http://schemas.openxmlformats.org/officeDocument/2006/relationships/hyperlink" Target="https://portal.sat.gob.gt/portal/declaracion-valor-cero/" TargetMode="External"/><Relationship Id="rId28" Type="http://schemas.openxmlformats.org/officeDocument/2006/relationships/hyperlink" Target="https://portal.sat.gob.gt/portal/consulta-de-titulos-qr/" TargetMode="External"/><Relationship Id="rId36" Type="http://schemas.openxmlformats.org/officeDocument/2006/relationships/hyperlink" Target="https://farm3.sat.gob.gt/menu/login.jsf" TargetMode="External"/><Relationship Id="rId10" Type="http://schemas.openxmlformats.org/officeDocument/2006/relationships/hyperlink" Target="https://portal.sat.gob.gt/portal/planilla-iva-fel/" TargetMode="External"/><Relationship Id="rId19" Type="http://schemas.openxmlformats.org/officeDocument/2006/relationships/hyperlink" Target="https://portal.sat.gob.gt/portal/libro-electronico-tributario/" TargetMode="External"/><Relationship Id="rId31" Type="http://schemas.openxmlformats.org/officeDocument/2006/relationships/hyperlink" Target="https://portal.sat.gob.gt/portal/" TargetMode="External"/><Relationship Id="rId4" Type="http://schemas.openxmlformats.org/officeDocument/2006/relationships/hyperlink" Target="https://portal.sat.gob.gt/portal/requisitos-de-vehiculos/" TargetMode="External"/><Relationship Id="rId9" Type="http://schemas.openxmlformats.org/officeDocument/2006/relationships/hyperlink" Target="https://portal.sat.gob.gt/portal/efactura/" TargetMode="External"/><Relationship Id="rId14" Type="http://schemas.openxmlformats.org/officeDocument/2006/relationships/hyperlink" Target="https://portal.sat.gob.gt/portal/solicitud-electronica-de-nit/" TargetMode="External"/><Relationship Id="rId22" Type="http://schemas.openxmlformats.org/officeDocument/2006/relationships/hyperlink" Target="https://portal.sat.gob.gt/portal/autoliquidacion/" TargetMode="External"/><Relationship Id="rId27" Type="http://schemas.openxmlformats.org/officeDocument/2006/relationships/hyperlink" Target="https://portal.sat.gob.gt/portal/sistemas-web/retencioneswebiva/" TargetMode="External"/><Relationship Id="rId30" Type="http://schemas.openxmlformats.org/officeDocument/2006/relationships/hyperlink" Target="https://portal.sat.gob.gt/portal/requisitos-tramites-agencias/actualizacion-de-distintivos/" TargetMode="External"/><Relationship Id="rId35" Type="http://schemas.openxmlformats.org/officeDocument/2006/relationships/hyperlink" Target="https://portal.sat.gob.gt/portal/retenciones-del-iva-consulta-de-constancias-de-retencion-del-iva-recibidas/" TargetMode="External"/><Relationship Id="rId8" Type="http://schemas.openxmlformats.org/officeDocument/2006/relationships/hyperlink" Target="https://portal.sat.gob.gt/portal/requisitos-tramites-agencias/cita-controlada/" TargetMode="External"/><Relationship Id="rId3" Type="http://schemas.openxmlformats.org/officeDocument/2006/relationships/hyperlink" Target="https://portal.sat.gob.gt/portal/requisitos-de-vehiculos/" TargetMode="External"/><Relationship Id="rId12" Type="http://schemas.openxmlformats.org/officeDocument/2006/relationships/hyperlink" Target="https://portal.sat.gob.gt/portal/tablas-y-acuerdos-vehiculos/" TargetMode="External"/><Relationship Id="rId17" Type="http://schemas.openxmlformats.org/officeDocument/2006/relationships/hyperlink" Target="https://portal.sat.gob.gt/portal/requisitos-de-personas-empresas/" TargetMode="External"/><Relationship Id="rId25" Type="http://schemas.openxmlformats.org/officeDocument/2006/relationships/hyperlink" Target="https://portal.sat.gob.gt/portal/forma-de-pago/" TargetMode="External"/><Relationship Id="rId33" Type="http://schemas.openxmlformats.org/officeDocument/2006/relationships/hyperlink" Target="https://portal.sat.gob.gt/portal/requisitos-de-vehiculos/" TargetMode="External"/><Relationship Id="rId38" Type="http://schemas.openxmlformats.org/officeDocument/2006/relationships/hyperlink" Target="https://portal.sat.gob.gt/portal/requisitos-de-personas-empresas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portal.sat.gob.gt/portal/consulta-estado-de-cita/" TargetMode="External"/><Relationship Id="rId13" Type="http://schemas.openxmlformats.org/officeDocument/2006/relationships/hyperlink" Target="https://portal.sat.gob.gt/portal/preguntas-frecuentes/cumplimiento-tributario/" TargetMode="External"/><Relationship Id="rId18" Type="http://schemas.openxmlformats.org/officeDocument/2006/relationships/hyperlink" Target="https://portal.sat.gob.gt/portal/requisitos-de-vehiculos/" TargetMode="External"/><Relationship Id="rId26" Type="http://schemas.openxmlformats.org/officeDocument/2006/relationships/table" Target="../tables/table3.xml"/><Relationship Id="rId3" Type="http://schemas.openxmlformats.org/officeDocument/2006/relationships/hyperlink" Target="https://portal.sat.gob.gt/portal/efactura/" TargetMode="External"/><Relationship Id="rId21" Type="http://schemas.openxmlformats.org/officeDocument/2006/relationships/hyperlink" Target="https://portal.sat.gob.gt/portal/requisitos-de-personas-empresas/" TargetMode="External"/><Relationship Id="rId7" Type="http://schemas.openxmlformats.org/officeDocument/2006/relationships/hyperlink" Target="https://portal.sat.gob.gt/portal/consulta-de-titulos-qr/" TargetMode="External"/><Relationship Id="rId12" Type="http://schemas.openxmlformats.org/officeDocument/2006/relationships/hyperlink" Target="https://portal.sat.gob.gt/portal/planilla-iva-fel/" TargetMode="External"/><Relationship Id="rId17" Type="http://schemas.openxmlformats.org/officeDocument/2006/relationships/hyperlink" Target="https://portal.sat.gob.gt/portal/requisitos-de-vehiculos/" TargetMode="External"/><Relationship Id="rId25" Type="http://schemas.openxmlformats.org/officeDocument/2006/relationships/hyperlink" Target="https://portal.sat.gob.gt/portal/requisitos-de-personas-empresas/" TargetMode="External"/><Relationship Id="rId2" Type="http://schemas.openxmlformats.org/officeDocument/2006/relationships/hyperlink" Target="https://portal.sat.gob.gt/portal/" TargetMode="External"/><Relationship Id="rId16" Type="http://schemas.openxmlformats.org/officeDocument/2006/relationships/hyperlink" Target="https://portal.sat.gob.gt/portal/requisitos-de-personas-empresas/" TargetMode="External"/><Relationship Id="rId20" Type="http://schemas.openxmlformats.org/officeDocument/2006/relationships/hyperlink" Target="https://portal.sat.gob.gt/portal/requisitos-de-personas-empresas/" TargetMode="External"/><Relationship Id="rId1" Type="http://schemas.openxmlformats.org/officeDocument/2006/relationships/hyperlink" Target="https://portal.sat.gob.gt/portal/declaracion-valor-cero/" TargetMode="External"/><Relationship Id="rId6" Type="http://schemas.openxmlformats.org/officeDocument/2006/relationships/hyperlink" Target="https://portal.sat.gob.gt/portal/consulta-de-gestion-del-contribuyente/" TargetMode="External"/><Relationship Id="rId11" Type="http://schemas.openxmlformats.org/officeDocument/2006/relationships/hyperlink" Target="https://portal.sat.gob.gt/portal/emision-constancias-de-adquisicion-de-insumos-y-servicios-cais/" TargetMode="External"/><Relationship Id="rId24" Type="http://schemas.openxmlformats.org/officeDocument/2006/relationships/hyperlink" Target="https://portal.sat.gob.gt/portal/emision-constancias-de-exencion-de-iva-civa/" TargetMode="External"/><Relationship Id="rId5" Type="http://schemas.openxmlformats.org/officeDocument/2006/relationships/hyperlink" Target="https://portal.sat.gob.gt/portal/solvencia-fiscal/" TargetMode="External"/><Relationship Id="rId15" Type="http://schemas.openxmlformats.org/officeDocument/2006/relationships/hyperlink" Target="https://portal.sat.gob.gt/portal/requisitos-de-personas-empresas/" TargetMode="External"/><Relationship Id="rId23" Type="http://schemas.openxmlformats.org/officeDocument/2006/relationships/hyperlink" Target="https://portal.sat.gob.gt/portal/libre-acceso-la-informacion-publica/" TargetMode="External"/><Relationship Id="rId10" Type="http://schemas.openxmlformats.org/officeDocument/2006/relationships/hyperlink" Target="https://portal.sat.gob.gt/portal/biblioteca-en-linea-sat/legislacion-aduanera/" TargetMode="External"/><Relationship Id="rId19" Type="http://schemas.openxmlformats.org/officeDocument/2006/relationships/hyperlink" Target="https://portal.sat.gob.gt/portal/requisitos-de-personas-empresas/" TargetMode="External"/><Relationship Id="rId4" Type="http://schemas.openxmlformats.org/officeDocument/2006/relationships/hyperlink" Target="https://portal.sat.gob.gt/portal/autoliquidacion/" TargetMode="External"/><Relationship Id="rId9" Type="http://schemas.openxmlformats.org/officeDocument/2006/relationships/hyperlink" Target="https://portal.sat.gob.gt/portal/consulta-movimiento-convenio/" TargetMode="External"/><Relationship Id="rId14" Type="http://schemas.openxmlformats.org/officeDocument/2006/relationships/hyperlink" Target="https://portal.sat.gob.gt/portal/sistemas-web/retencioneswebiva/" TargetMode="External"/><Relationship Id="rId22" Type="http://schemas.openxmlformats.org/officeDocument/2006/relationships/hyperlink" Target="https://portal.sat.gob.gt/portal/requisitos-de-vehiculos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portal.sat.gob.gt/portal/biblioteca-en-linea-sat/legislacion-aduanera/" TargetMode="External"/><Relationship Id="rId18" Type="http://schemas.openxmlformats.org/officeDocument/2006/relationships/hyperlink" Target="https://portal.sat.gob.gt/portal/requisitos-tramites-agencias/actualizacion-de-distintivos/" TargetMode="External"/><Relationship Id="rId26" Type="http://schemas.openxmlformats.org/officeDocument/2006/relationships/hyperlink" Target="https://portal.sat.gob.gt/portal/requisitos-de-personas-empresas/" TargetMode="External"/><Relationship Id="rId3" Type="http://schemas.openxmlformats.org/officeDocument/2006/relationships/hyperlink" Target="https://portal.sat.gob.gt/portal/sistemas-web/retencioneswebiva/" TargetMode="External"/><Relationship Id="rId21" Type="http://schemas.openxmlformats.org/officeDocument/2006/relationships/hyperlink" Target="https://portal.sat.gob.gt/portal/requisitos-de-personas-empresas/" TargetMode="External"/><Relationship Id="rId7" Type="http://schemas.openxmlformats.org/officeDocument/2006/relationships/hyperlink" Target="https://portal.sat.gob.gt/portal/libre-acceso-la-informacion-publica/" TargetMode="External"/><Relationship Id="rId12" Type="http://schemas.openxmlformats.org/officeDocument/2006/relationships/hyperlink" Target="https://portal.sat.gob.gt/portal/consulta-movimiento-convenio/" TargetMode="External"/><Relationship Id="rId17" Type="http://schemas.openxmlformats.org/officeDocument/2006/relationships/hyperlink" Target="https://portal.sat.gob.gt/portal/requisitos-de-vehiculos/" TargetMode="External"/><Relationship Id="rId25" Type="http://schemas.openxmlformats.org/officeDocument/2006/relationships/hyperlink" Target="https://portal.sat.gob.gt/portal/requisitos-de-personas-empresas/" TargetMode="External"/><Relationship Id="rId33" Type="http://schemas.openxmlformats.org/officeDocument/2006/relationships/table" Target="../tables/table4.xml"/><Relationship Id="rId2" Type="http://schemas.openxmlformats.org/officeDocument/2006/relationships/hyperlink" Target="https://portal.sat.gob.gt/portal/sistemas-web/retencioneswebisr/" TargetMode="External"/><Relationship Id="rId16" Type="http://schemas.openxmlformats.org/officeDocument/2006/relationships/hyperlink" Target="https://farm3.sat.gob.gt/menu/login.jsf" TargetMode="External"/><Relationship Id="rId20" Type="http://schemas.openxmlformats.org/officeDocument/2006/relationships/hyperlink" Target="https://portal.sat.gob.gt/portal/requisitos-de-personas-empresas/" TargetMode="External"/><Relationship Id="rId29" Type="http://schemas.openxmlformats.org/officeDocument/2006/relationships/hyperlink" Target="https://portal.sat.gob.gt/portal/requisitos-tramites-agencias/traspaso-electronico-de-vehiculos-por-notario-con-anexo-del-certificado-de-propiedad-emitido-via-declaraguate-en-agencia-virtual/" TargetMode="External"/><Relationship Id="rId1" Type="http://schemas.openxmlformats.org/officeDocument/2006/relationships/hyperlink" Target="https://portal.sat.gob.gt/portal/efactura/" TargetMode="External"/><Relationship Id="rId6" Type="http://schemas.openxmlformats.org/officeDocument/2006/relationships/hyperlink" Target="https://portal.sat.gob.gt/portal/" TargetMode="External"/><Relationship Id="rId11" Type="http://schemas.openxmlformats.org/officeDocument/2006/relationships/hyperlink" Target="https://portal.sat.gob.gt/portal/solvencia-fiscal/" TargetMode="External"/><Relationship Id="rId24" Type="http://schemas.openxmlformats.org/officeDocument/2006/relationships/hyperlink" Target="https://portal.sat.gob.gt/portal/requisitos-de-vehiculos/" TargetMode="External"/><Relationship Id="rId32" Type="http://schemas.openxmlformats.org/officeDocument/2006/relationships/hyperlink" Target="https://portal.sat.gob.gt/portal/requisitos-de-vehiculos/" TargetMode="External"/><Relationship Id="rId5" Type="http://schemas.openxmlformats.org/officeDocument/2006/relationships/hyperlink" Target="https://portal.sat.gob.gt/portal/precios-de-transferencia/" TargetMode="External"/><Relationship Id="rId15" Type="http://schemas.openxmlformats.org/officeDocument/2006/relationships/hyperlink" Target="https://portal.sat.gob.gt/portal/preguntas-frecuentes/contribuyentes-especiales/" TargetMode="External"/><Relationship Id="rId23" Type="http://schemas.openxmlformats.org/officeDocument/2006/relationships/hyperlink" Target="https://portal.sat.gob.gt/portal/requisitos-de-vehiculos/" TargetMode="External"/><Relationship Id="rId28" Type="http://schemas.openxmlformats.org/officeDocument/2006/relationships/hyperlink" Target="https://portal.sat.gob.gt/portal/requisitos-de-vehiculos/" TargetMode="External"/><Relationship Id="rId10" Type="http://schemas.openxmlformats.org/officeDocument/2006/relationships/hyperlink" Target="https://portal.sat.gob.gt/portal/biblioteca-en-linea-sat/software/asistelight/" TargetMode="External"/><Relationship Id="rId19" Type="http://schemas.openxmlformats.org/officeDocument/2006/relationships/hyperlink" Target="https://portal.sat.gob.gt/portal/requisitos-de-vehiculos/" TargetMode="External"/><Relationship Id="rId31" Type="http://schemas.openxmlformats.org/officeDocument/2006/relationships/hyperlink" Target="https://portal.sat.gob.gt/portal/tasas-e-intereses/" TargetMode="External"/><Relationship Id="rId4" Type="http://schemas.openxmlformats.org/officeDocument/2006/relationships/hyperlink" Target="https://portal.sat.gob.gt/portal/rtu-digital/" TargetMode="External"/><Relationship Id="rId9" Type="http://schemas.openxmlformats.org/officeDocument/2006/relationships/hyperlink" Target="https://portal.sat.gob.gt/portal/requisitos-de-personas-empresas/" TargetMode="External"/><Relationship Id="rId14" Type="http://schemas.openxmlformats.org/officeDocument/2006/relationships/hyperlink" Target="https://portal.sat.gob.gt/portal/biblioteca-en-linea-sat/legislacion-tributaria/" TargetMode="External"/><Relationship Id="rId22" Type="http://schemas.openxmlformats.org/officeDocument/2006/relationships/hyperlink" Target="https://portal.sat.gob.gt/portal/requisitos-de-vehiculos/" TargetMode="External"/><Relationship Id="rId27" Type="http://schemas.openxmlformats.org/officeDocument/2006/relationships/hyperlink" Target="https://portal.sat.gob.gt/portal/requisitos-de-personas-empresas/" TargetMode="External"/><Relationship Id="rId30" Type="http://schemas.openxmlformats.org/officeDocument/2006/relationships/hyperlink" Target="https://portal.sat.gob.gt/portal/tablas-y-acuerdos-vehiculos/" TargetMode="External"/><Relationship Id="rId8" Type="http://schemas.openxmlformats.org/officeDocument/2006/relationships/hyperlink" Target="https://portal.sat.gob.gt/portal/autoliquidacion/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portal.sat.gob.gt/portal/preguntas-frecuentes/temas-aduaneros/" TargetMode="External"/><Relationship Id="rId18" Type="http://schemas.openxmlformats.org/officeDocument/2006/relationships/hyperlink" Target="https://portal.sat.gob.gt/portal/programa-miad/" TargetMode="External"/><Relationship Id="rId26" Type="http://schemas.openxmlformats.org/officeDocument/2006/relationships/hyperlink" Target="https://farm3.sat.gob.gt/menu/login.jsf" TargetMode="External"/><Relationship Id="rId3" Type="http://schemas.openxmlformats.org/officeDocument/2006/relationships/hyperlink" Target="https://portal.sat.gob.gt/portal/preguntas-frecuentes/cumplimiento-tributario/" TargetMode="External"/><Relationship Id="rId21" Type="http://schemas.openxmlformats.org/officeDocument/2006/relationships/hyperlink" Target="https://portal.sat.gob.gt/portal/efactura/" TargetMode="External"/><Relationship Id="rId34" Type="http://schemas.openxmlformats.org/officeDocument/2006/relationships/table" Target="../tables/table5.xml"/><Relationship Id="rId7" Type="http://schemas.openxmlformats.org/officeDocument/2006/relationships/hyperlink" Target="https://portal.sat.gob.gt/portal/union-aduanera/" TargetMode="External"/><Relationship Id="rId12" Type="http://schemas.openxmlformats.org/officeDocument/2006/relationships/hyperlink" Target="https://portal.sat.gob.gt/portal/procedimientos-aduanas/" TargetMode="External"/><Relationship Id="rId17" Type="http://schemas.openxmlformats.org/officeDocument/2006/relationships/hyperlink" Target="https://portal.sat.gob.gt/portal/recepcion-de-objeciones-y-recomendaciones-procedimientos-de-la-sat/objeciones-y-recomendaciones-a-los-procedimientos-de-la-intendencia-de-aduanas/" TargetMode="External"/><Relationship Id="rId25" Type="http://schemas.openxmlformats.org/officeDocument/2006/relationships/hyperlink" Target="https://portal.sat.gob.gt/portal/" TargetMode="External"/><Relationship Id="rId33" Type="http://schemas.openxmlformats.org/officeDocument/2006/relationships/hyperlink" Target="https://portal.sat.gob.gt/portal/requisitos-tramites-agencias/cambio-de-regimen-optativo-al-regimen-especial-de-devolucion-de-credito-fiscal-de-iva-por-exportaciones/" TargetMode="External"/><Relationship Id="rId2" Type="http://schemas.openxmlformats.org/officeDocument/2006/relationships/hyperlink" Target="https://portal.sat.gob.gt/portal/preguntas-frecuentes/cumplimiento-tributario/" TargetMode="External"/><Relationship Id="rId16" Type="http://schemas.openxmlformats.org/officeDocument/2006/relationships/hyperlink" Target="https://portal.sat.gob.gt/portal/procedimientos-aduanas/" TargetMode="External"/><Relationship Id="rId20" Type="http://schemas.openxmlformats.org/officeDocument/2006/relationships/hyperlink" Target="https://portal.sat.gob.gt/portal/biblioteca-en-linea-sat/legislacion-aduanera/" TargetMode="External"/><Relationship Id="rId29" Type="http://schemas.openxmlformats.org/officeDocument/2006/relationships/hyperlink" Target="https://portal.sat.gob.gt/portal/requisitos-de-aduanas/" TargetMode="External"/><Relationship Id="rId1" Type="http://schemas.openxmlformats.org/officeDocument/2006/relationships/hyperlink" Target="https://portal.sat.gob.gt/portal/preguntas-frecuentes/cumplimiento-tributario/" TargetMode="External"/><Relationship Id="rId6" Type="http://schemas.openxmlformats.org/officeDocument/2006/relationships/hyperlink" Target="https://portal.sat.gob.gt/portal/procedimientos-aduanas/" TargetMode="External"/><Relationship Id="rId11" Type="http://schemas.openxmlformats.org/officeDocument/2006/relationships/hyperlink" Target="https://portal.sat.gob.gt/portal/procedimientos-aduanas/" TargetMode="External"/><Relationship Id="rId24" Type="http://schemas.openxmlformats.org/officeDocument/2006/relationships/hyperlink" Target="https://portal.sat.gob.gt/portal/libre-acceso-la-informacion-publica/" TargetMode="External"/><Relationship Id="rId32" Type="http://schemas.openxmlformats.org/officeDocument/2006/relationships/hyperlink" Target="https://portal.sat.gob.gt/portal/consulta-de-solicitudes-de-devolucion-de-credito-fiscal-regimen-general/" TargetMode="External"/><Relationship Id="rId5" Type="http://schemas.openxmlformats.org/officeDocument/2006/relationships/hyperlink" Target="https://portal.sat.gob.gt/portal/consulta-movimiento-convenio/" TargetMode="External"/><Relationship Id="rId15" Type="http://schemas.openxmlformats.org/officeDocument/2006/relationships/hyperlink" Target="https://portal.sat.gob.gt/portal/consultas-aduanas/" TargetMode="External"/><Relationship Id="rId23" Type="http://schemas.openxmlformats.org/officeDocument/2006/relationships/hyperlink" Target="https://portal.sat.gob.gt/portal/procedimientos-aduanas/" TargetMode="External"/><Relationship Id="rId28" Type="http://schemas.openxmlformats.org/officeDocument/2006/relationships/hyperlink" Target="https://portal.sat.gob.gt/portal/programa-miad/componente-procesos/importacion/" TargetMode="External"/><Relationship Id="rId10" Type="http://schemas.openxmlformats.org/officeDocument/2006/relationships/hyperlink" Target="https://portal.sat.gob.gt/portal/procedimientos-aduanas/" TargetMode="External"/><Relationship Id="rId19" Type="http://schemas.openxmlformats.org/officeDocument/2006/relationships/hyperlink" Target="https://portal.sat.gob.gt/portal/biblioteca-en-linea-sat/legislacion-tributaria/" TargetMode="External"/><Relationship Id="rId31" Type="http://schemas.openxmlformats.org/officeDocument/2006/relationships/hyperlink" Target="https://portal.sat.gob.gt/portal/requisitos-de-personas-empresas/" TargetMode="External"/><Relationship Id="rId4" Type="http://schemas.openxmlformats.org/officeDocument/2006/relationships/hyperlink" Target="https://portal.sat.gob.gt/portal/requisitos-de-vehiculos/" TargetMode="External"/><Relationship Id="rId9" Type="http://schemas.openxmlformats.org/officeDocument/2006/relationships/hyperlink" Target="https://portal.sat.gob.gt/portal/puestos-de-control-interinstitucional-pci/" TargetMode="External"/><Relationship Id="rId14" Type="http://schemas.openxmlformats.org/officeDocument/2006/relationships/hyperlink" Target="https://portal.sat.gob.gt/portal/facilitacion-de-comercio/" TargetMode="External"/><Relationship Id="rId22" Type="http://schemas.openxmlformats.org/officeDocument/2006/relationships/hyperlink" Target="https://portal.sat.gob.gt/portal/solvencia-fiscal/" TargetMode="External"/><Relationship Id="rId27" Type="http://schemas.openxmlformats.org/officeDocument/2006/relationships/hyperlink" Target="https://portal.sat.gob.gt/portal/programa-miad/componente-procesos/importacion/" TargetMode="External"/><Relationship Id="rId30" Type="http://schemas.openxmlformats.org/officeDocument/2006/relationships/hyperlink" Target="https://portal.sat.gob.gt/portal/procedimientos-aduanas/" TargetMode="External"/><Relationship Id="rId8" Type="http://schemas.openxmlformats.org/officeDocument/2006/relationships/hyperlink" Target="https://portal.sat.gob.gt/portal/requisitos-de-aduanas/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portal.sat.gob.gt/portal/aduana-sin-papeles/" TargetMode="External"/><Relationship Id="rId18" Type="http://schemas.openxmlformats.org/officeDocument/2006/relationships/hyperlink" Target="https://portal.sat.gob.gt/portal/listado-de-contribuyentes-morosos/" TargetMode="External"/><Relationship Id="rId26" Type="http://schemas.openxmlformats.org/officeDocument/2006/relationships/hyperlink" Target="https://portal.sat.gob.gt/portal/requisitos-de-personas-empresas/" TargetMode="External"/><Relationship Id="rId3" Type="http://schemas.openxmlformats.org/officeDocument/2006/relationships/hyperlink" Target="https://portal.sat.gob.gt/portal/sistemas-web/retencioneswebisr/" TargetMode="External"/><Relationship Id="rId21"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/><Relationship Id="rId7" Type="http://schemas.openxmlformats.org/officeDocument/2006/relationships/hyperlink" Target="https://portal.sat.gob.gt/portal/convenios-interinstitucionales-sat/" TargetMode="External"/><Relationship Id="rId12" Type="http://schemas.openxmlformats.org/officeDocument/2006/relationships/hyperlink" Target="https://portal.sat.gob.gt/portal/union-aduanera/" TargetMode="External"/><Relationship Id="rId17" Type="http://schemas.openxmlformats.org/officeDocument/2006/relationships/hyperlink" Target="https://portal.sat.gob.gt/portal/libre-acceso-la-informacion-publica/" TargetMode="External"/><Relationship Id="rId25" Type="http://schemas.openxmlformats.org/officeDocument/2006/relationships/hyperlink" Target="https://portal.sat.gob.gt/portal/requisitos-tramites-notarios/" TargetMode="External"/><Relationship Id="rId33" Type="http://schemas.openxmlformats.org/officeDocument/2006/relationships/table" Target="../tables/table6.xml"/><Relationship Id="rId2" Type="http://schemas.openxmlformats.org/officeDocument/2006/relationships/hyperlink" Target="https://portal.sat.gob.gt/portal/manual-de-procedimientos-de-la-intendencia-de-aduanas/" TargetMode="External"/><Relationship Id="rId16" Type="http://schemas.openxmlformats.org/officeDocument/2006/relationships/hyperlink" Target="https://portal.sat.gob.gt/portal/requisitos-de-personas-empresas/" TargetMode="External"/><Relationship Id="rId20" Type="http://schemas.openxmlformats.org/officeDocument/2006/relationships/hyperlink" Target="https://portal.sat.gob.gt/portal/preguntas-frecuentes/cumplimiento-tributario/" TargetMode="External"/><Relationship Id="rId29" Type="http://schemas.openxmlformats.org/officeDocument/2006/relationships/hyperlink" Target="https://portal.sat.gob.gt/portal/requisitos-de-vehiculos/" TargetMode="External"/><Relationship Id="rId1" Type="http://schemas.openxmlformats.org/officeDocument/2006/relationships/hyperlink" Target="https://portal.sat.gob.gt/portal/operador-economico-autorizado/" TargetMode="External"/><Relationship Id="rId6" Type="http://schemas.openxmlformats.org/officeDocument/2006/relationships/hyperlink" Target="https://portal.sat.gob.gt/portal/efactura/" TargetMode="External"/><Relationship Id="rId11" Type="http://schemas.openxmlformats.org/officeDocument/2006/relationships/hyperlink" Target="https://portal.sat.gob.gt/portal/requisitos-tramites-aduanas/solicitud-de-renovacion-de-auxiliares-de-la-funcion-publica-en-unidad-de-calificacion-registro-y-control-de-auxiliares-de-la-funcion-publica/" TargetMode="External"/><Relationship Id="rId24" Type="http://schemas.openxmlformats.org/officeDocument/2006/relationships/hyperlink" Target="https://portal.sat.gob.gt/portal/bitacora-de-solvencia-fiscal/" TargetMode="External"/><Relationship Id="rId32" Type="http://schemas.openxmlformats.org/officeDocument/2006/relationships/hyperlink" Target="https://portal.sat.gob.gt/portal/documentacion-a-presentar-ante-la-aduana-de-vehiculos-trifoliar/" TargetMode="External"/><Relationship Id="rId5" Type="http://schemas.openxmlformats.org/officeDocument/2006/relationships/hyperlink" Target="https://portal.sat.gob.gt/portal/preguntas-frecuentes/cumplimiento-tributario/" TargetMode="External"/><Relationship Id="rId15" Type="http://schemas.openxmlformats.org/officeDocument/2006/relationships/hyperlink" Target="https://portal.sat.gob.gt/portal/consultas-aduanas/" TargetMode="External"/><Relationship Id="rId23" Type="http://schemas.openxmlformats.org/officeDocument/2006/relationships/hyperlink" Target="https://portal.sat.gob.gt/portal/requisitos-de-vehiculos/" TargetMode="External"/><Relationship Id="rId28" Type="http://schemas.openxmlformats.org/officeDocument/2006/relationships/hyperlink" Target="https://portal.sat.gob.gt/portal/tasas-e-intereses/" TargetMode="External"/><Relationship Id="rId10" Type="http://schemas.openxmlformats.org/officeDocument/2006/relationships/hyperlink" Target="https://portal.sat.gob.gt/portal/ubicacion-y-horario-de-aduanas/" TargetMode="External"/><Relationship Id="rId19" Type="http://schemas.openxmlformats.org/officeDocument/2006/relationships/hyperlink" Target="https://portal.sat.gob.gt/portal/preguntas-frecuentes/cumplimiento-tributario/" TargetMode="External"/><Relationship Id="rId31" Type="http://schemas.openxmlformats.org/officeDocument/2006/relationships/hyperlink" Target="https://portal.sat.gob.gt/portal/procedimientos-aduanas/" TargetMode="External"/><Relationship Id="rId4" Type="http://schemas.openxmlformats.org/officeDocument/2006/relationships/hyperlink" Target="https://portal.sat.gob.gt/portal/emision-constancias-de-exencion-de-iva-civa/" TargetMode="External"/><Relationship Id="rId9" Type="http://schemas.openxmlformats.org/officeDocument/2006/relationships/hyperlink" Target="https://portal.sat.gob.gt/portal/recepcion-de-objeciones-y-recomendaciones-procedimientos-de-la-sat/objeciones-y-recomendaciones-a-los-procedimientos-de-la-intendencia-de-aduanas/" TargetMode="External"/><Relationship Id="rId14" Type="http://schemas.openxmlformats.org/officeDocument/2006/relationships/hyperlink" Target="https://portal.sat.gob.gt/portal/facilitacion-de-comercio/" TargetMode="External"/><Relationship Id="rId22" Type="http://schemas.openxmlformats.org/officeDocument/2006/relationships/hyperlink" Target="https://portal.sat.gob.gt/portal/requisitos-de-personas-empresas/" TargetMode="External"/><Relationship Id="rId27" Type="http://schemas.openxmlformats.org/officeDocument/2006/relationships/hyperlink" Target="https://portal.sat.gob.gt/portal/requisitos-de-personas-empresas/" TargetMode="External"/><Relationship Id="rId30" Type="http://schemas.openxmlformats.org/officeDocument/2006/relationships/hyperlink" Target="https://portal.sat.gob.gt/portal/requisitos-tramites-agencias/tercera-persona-autorizada-rtu/" TargetMode="External"/><Relationship Id="rId8" Type="http://schemas.openxmlformats.org/officeDocument/2006/relationships/hyperlink" Target="https://portal.sat.gob.gt/portal/preguntas-frecuentes/temas-aduaneros/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portal.sat.gob.gt/portal/estadisticas-tributarias-sat/" TargetMode="External"/><Relationship Id="rId18" Type="http://schemas.openxmlformats.org/officeDocument/2006/relationships/hyperlink" Target="https://portal.sat.gob.gt/portal/requisitos-de-vehiculos/" TargetMode="External"/><Relationship Id="rId26" Type="http://schemas.openxmlformats.org/officeDocument/2006/relationships/hyperlink" Target="https://portal.sat.gob.gt/portal/requisitos-tramites-agencias/solicitud-de-registro-de-personas-exentas-del-impuesto-a-la-distribucion-de-petroleo-crudo-y-combustibles-derivados-del-petroleo/" TargetMode="External"/><Relationship Id="rId39" Type="http://schemas.openxmlformats.org/officeDocument/2006/relationships/hyperlink" Target="https://portal.sat.gob.gt/portal/requisitos-de-vehiculos/" TargetMode="External"/><Relationship Id="rId21" Type="http://schemas.openxmlformats.org/officeDocument/2006/relationships/hyperlink" Target="https://portal.sat.gob.gt/portal/efactura/" TargetMode="External"/><Relationship Id="rId34" Type="http://schemas.openxmlformats.org/officeDocument/2006/relationships/hyperlink" Target="https://portal.sat.gob.gt/portal/biblioteca-en-linea-sat/legislacion/" TargetMode="External"/><Relationship Id="rId42" Type="http://schemas.openxmlformats.org/officeDocument/2006/relationships/table" Target="../tables/table7.xml"/><Relationship Id="rId7" Type="http://schemas.openxmlformats.org/officeDocument/2006/relationships/hyperlink" Target="https://portal.sat.gob.gt/portal/procedimientos-aduanas/" TargetMode="External"/><Relationship Id="rId2" Type="http://schemas.openxmlformats.org/officeDocument/2006/relationships/hyperlink" Target="https://portal.sat.gob.gt/portal/retenciones-del-iva-consulta-de-constancias-de-retencion-del-iva-recibidas/" TargetMode="External"/><Relationship Id="rId16"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/><Relationship Id="rId20" Type="http://schemas.openxmlformats.org/officeDocument/2006/relationships/hyperlink" Target="https://portal.sat.gob.gt/portal/libre-acceso-la-informacion-publica/" TargetMode="External"/><Relationship Id="rId29" Type="http://schemas.openxmlformats.org/officeDocument/2006/relationships/hyperlink" Target="https://portal.sat.gob.gt/portal/sistemas-web/retencioneswebiva/" TargetMode="External"/><Relationship Id="rId41" Type="http://schemas.openxmlformats.org/officeDocument/2006/relationships/hyperlink" Target="https://farm3.sat.gob.gt/menu/login.jsf" TargetMode="External"/><Relationship Id="rId1" Type="http://schemas.openxmlformats.org/officeDocument/2006/relationships/hyperlink" Target="https://portal.sat.gob.gt/portal/planilla-iva-fel/" TargetMode="External"/><Relationship Id="rId6" Type="http://schemas.openxmlformats.org/officeDocument/2006/relationships/hyperlink" Target="https://portal.sat.gob.gt/portal/criterios-institucionales/" TargetMode="External"/><Relationship Id="rId11" Type="http://schemas.openxmlformats.org/officeDocument/2006/relationships/hyperlink" Target="https://portal.sat.gob.gt/portal/lista-general-de-formularios/" TargetMode="External"/><Relationship Id="rId24" Type="http://schemas.openxmlformats.org/officeDocument/2006/relationships/hyperlink" Target="https://portal.sat.gob.gt/portal/autoliquidacion/" TargetMode="External"/><Relationship Id="rId32" Type="http://schemas.openxmlformats.org/officeDocument/2006/relationships/hyperlink" Target="https://portal.sat.gob.gt/portal/requisitos-tramites-notarios/" TargetMode="External"/><Relationship Id="rId37" Type="http://schemas.openxmlformats.org/officeDocument/2006/relationships/hyperlink" Target="https://portal.sat.gob.gt/portal/sistemas-web/asistehospitalesweb/" TargetMode="External"/><Relationship Id="rId40" Type="http://schemas.openxmlformats.org/officeDocument/2006/relationships/hyperlink" Target="https://portal.sat.gob.gt/portal/preguntas-frecuentes/" TargetMode="External"/><Relationship Id="rId5" Type="http://schemas.openxmlformats.org/officeDocument/2006/relationships/hyperlink" Target="https://portal.sat.gob.gt/portal/contacto/consultas-legales/" TargetMode="External"/><Relationship Id="rId15" Type="http://schemas.openxmlformats.org/officeDocument/2006/relationships/hyperlink" Target="https://portal.sat.gob.gt/portal/orientacion-legal/" TargetMode="External"/><Relationship Id="rId23" Type="http://schemas.openxmlformats.org/officeDocument/2006/relationships/hyperlink" Target="https://portal.sat.gob.gt/portal/requisitos-de-personas-empresas/" TargetMode="External"/><Relationship Id="rId28" Type="http://schemas.openxmlformats.org/officeDocument/2006/relationships/hyperlink" Target="https://portal.sat.gob.gt/portal/sistemas-web/retencioneswebict/" TargetMode="External"/><Relationship Id="rId36"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/><Relationship Id="rId10" Type="http://schemas.openxmlformats.org/officeDocument/2006/relationships/hyperlink" Target="https://portal.sat.gob.gt/portal/listado-de-contribuyentes-morosos/" TargetMode="External"/><Relationship Id="rId19" Type="http://schemas.openxmlformats.org/officeDocument/2006/relationships/hyperlink" Target="https://portal.sat.gob.gt/portal/requisitos-tramites-notarios/" TargetMode="External"/><Relationship Id="rId31" Type="http://schemas.openxmlformats.org/officeDocument/2006/relationships/hyperlink" Target="https://portal.sat.gob.gt/portal/biblioteca-en-linea-sat/software/" TargetMode="External"/><Relationship Id="rId4" Type="http://schemas.openxmlformats.org/officeDocument/2006/relationships/hyperlink" Target="https://portal.sat.gob.gt/portal/consultas-aduanas/" TargetMode="External"/><Relationship Id="rId9" Type="http://schemas.openxmlformats.org/officeDocument/2006/relationships/hyperlink" Target="https://portal.sat.gob.gt/portal/requisitos-de-vehiculos/" TargetMode="External"/><Relationship Id="rId14" Type="http://schemas.openxmlformats.org/officeDocument/2006/relationships/hyperlink" Target="https://portal.sat.gob.gt/portal/operador-economico-autorizado/" TargetMode="External"/><Relationship Id="rId22" Type="http://schemas.openxmlformats.org/officeDocument/2006/relationships/hyperlink" Target="https://portal.sat.gob.gt/portal/requisitos-de-personas-empresas/" TargetMode="External"/><Relationship Id="rId27" Type="http://schemas.openxmlformats.org/officeDocument/2006/relationships/hyperlink" Target="https://portal.sat.gob.gt/portal/efactura/" TargetMode="External"/><Relationship Id="rId30" Type="http://schemas.openxmlformats.org/officeDocument/2006/relationships/hyperlink" Target="https://portal.sat.gob.gt/portal/rtu-digital/" TargetMode="External"/><Relationship Id="rId35" Type="http://schemas.openxmlformats.org/officeDocument/2006/relationships/hyperlink" Target="https://portal.sat.gob.gt/portal/forma-de-pago/" TargetMode="External"/><Relationship Id="rId8" Type="http://schemas.openxmlformats.org/officeDocument/2006/relationships/hyperlink" Target="https://portal.sat.gob.gt/portal/facilitacion-de-comercio/" TargetMode="External"/><Relationship Id="rId3" Type="http://schemas.openxmlformats.org/officeDocument/2006/relationships/hyperlink" Target="https://portal.sat.gob.gt/portal/biblioteca-en-linea-sat/software/" TargetMode="External"/><Relationship Id="rId12" Type="http://schemas.openxmlformats.org/officeDocument/2006/relationships/hyperlink" Target="https://portal.sat.gob.gt/portal/memoria-de-labores/" TargetMode="External"/><Relationship Id="rId17" Type="http://schemas.openxmlformats.org/officeDocument/2006/relationships/hyperlink" Target="https://portal.sat.gob.gt/portal/gestores-tributarios/" TargetMode="External"/><Relationship Id="rId25" Type="http://schemas.openxmlformats.org/officeDocument/2006/relationships/hyperlink" Target="https://portal.sat.gob.gt/portal/preguntas-frecuentes/contribuyentes-especiales/" TargetMode="External"/><Relationship Id="rId33" Type="http://schemas.openxmlformats.org/officeDocument/2006/relationships/hyperlink" Target="https://portal.sat.gob.gt/portal/consultas-aduanas/" TargetMode="External"/><Relationship Id="rId38" Type="http://schemas.openxmlformats.org/officeDocument/2006/relationships/hyperlink" Target="https://portal.sat.gob.gt/portal/solicitud-electronica-de-nit/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portal.sat.gob.gt/portal/libre-acceso-la-informacion-publica/" TargetMode="External"/><Relationship Id="rId18" Type="http://schemas.openxmlformats.org/officeDocument/2006/relationships/hyperlink" Target="https://portal.sat.gob.gt/portal/memoria-de-labores/" TargetMode="External"/><Relationship Id="rId26" Type="http://schemas.openxmlformats.org/officeDocument/2006/relationships/hyperlink" Target="https://portal.sat.gob.gt/portal/recepcion-de-objeciones-y-recomendaciones-procedimientos-de-la-sat/objeciones-y-recomendaciones-a-los-procedimientos-de-la-intendencia-de-aduanas/" TargetMode="External"/><Relationship Id="rId39" Type="http://schemas.openxmlformats.org/officeDocument/2006/relationships/hyperlink" Target="https://portal.sat.gob.gt/portal/requisitos-de-personas-empresas/" TargetMode="External"/><Relationship Id="rId21" Type="http://schemas.openxmlformats.org/officeDocument/2006/relationships/hyperlink" Target="https://portal.sat.gob.gt/portal/preguntas-frecuentes/cumplimiento-tributario/" TargetMode="External"/><Relationship Id="rId34" Type="http://schemas.openxmlformats.org/officeDocument/2006/relationships/hyperlink" Target="https://portal.sat.gob.gt/portal/requisitos-de-aduanas/" TargetMode="External"/><Relationship Id="rId42" Type="http://schemas.openxmlformats.org/officeDocument/2006/relationships/hyperlink" Target="https://portal.sat.gob.gt/portal/tablas-y-acuerdos-vehiculos/" TargetMode="External"/><Relationship Id="rId47" Type="http://schemas.openxmlformats.org/officeDocument/2006/relationships/hyperlink" Target="https://portal.sat.gob.gt/portal/requisitos-tramites-agencias/recepcion-de-seguro-de-caucion-importacion-y-admision-temporal/" TargetMode="External"/><Relationship Id="rId50" Type="http://schemas.openxmlformats.org/officeDocument/2006/relationships/table" Target="../tables/table8.xml"/><Relationship Id="rId7" Type="http://schemas.openxmlformats.org/officeDocument/2006/relationships/hyperlink" Target="https://portal.sat.gob.gt/portal/consultas-aduanas/" TargetMode="External"/><Relationship Id="rId2" Type="http://schemas.openxmlformats.org/officeDocument/2006/relationships/hyperlink" Target="https://portal.sat.gob.gt/portal/procedimientos-aduanas/" TargetMode="External"/><Relationship Id="rId16" Type="http://schemas.openxmlformats.org/officeDocument/2006/relationships/hyperlink" Target="https://portal.sat.gob.gt/portal/listado-de-contribuyentes-morosos/" TargetMode="External"/><Relationship Id="rId29" Type="http://schemas.openxmlformats.org/officeDocument/2006/relationships/hyperlink" Target="https://portal.sat.gob.gt/portal/requisitos-de-personas-empresas/" TargetMode="External"/><Relationship Id="rId11" Type="http://schemas.openxmlformats.org/officeDocument/2006/relationships/hyperlink" Target="https://portal.sat.gob.gt/portal/biblioteca-en-linea-sat/archivo-de-documentos/" TargetMode="External"/><Relationship Id="rId24" Type="http://schemas.openxmlformats.org/officeDocument/2006/relationships/hyperlink" Target="https://portal.sat.gob.gt/portal/preguntas-frecuentes/temas-aduaneros/" TargetMode="External"/><Relationship Id="rId32" Type="http://schemas.openxmlformats.org/officeDocument/2006/relationships/hyperlink" Target="https://portal.sat.gob.gt/portal/requisitos-de-vehiculos/" TargetMode="External"/><Relationship Id="rId37" Type="http://schemas.openxmlformats.org/officeDocument/2006/relationships/hyperlink" Target="https://portal.sat.gob.gt/portal/requisitos-de-vehiculos/" TargetMode="External"/><Relationship Id="rId40" Type="http://schemas.openxmlformats.org/officeDocument/2006/relationships/hyperlink" Target="https://portal.sat.gob.gt/portal/requisitos-de-personas-empresas/" TargetMode="External"/><Relationship Id="rId45" Type="http://schemas.openxmlformats.org/officeDocument/2006/relationships/hyperlink" Target="https://portal.sat.gob.gt/portal/franquicias-electronicas/" TargetMode="External"/><Relationship Id="rId5" Type="http://schemas.openxmlformats.org/officeDocument/2006/relationships/hyperlink" Target="https://portal.sat.gob.gt/portal/autoliquidacion/" TargetMode="External"/><Relationship Id="rId15" Type="http://schemas.openxmlformats.org/officeDocument/2006/relationships/hyperlink" Target="https://portal.sat.gob.gt/portal/libre-acceso-la-informacion-publica/ley-organica-del-presupuesto-2017-y-sus-reformas/" TargetMode="External"/><Relationship Id="rId23" Type="http://schemas.openxmlformats.org/officeDocument/2006/relationships/hyperlink" Target="https://portal.sat.gob.gt/portal/preguntas-frecuentes/cumplimiento-tributario/" TargetMode="External"/><Relationship Id="rId28" Type="http://schemas.openxmlformats.org/officeDocument/2006/relationships/hyperlink" Target="https://portal.sat.gob.gt/portal/procedimientos-aduanas/" TargetMode="External"/><Relationship Id="rId36" Type="http://schemas.openxmlformats.org/officeDocument/2006/relationships/hyperlink" Target="https://portal.sat.gob.gt/portal/requisitos-de-vehiculos/" TargetMode="External"/><Relationship Id="rId49" Type="http://schemas.openxmlformats.org/officeDocument/2006/relationships/hyperlink" Target="https://portal.sat.gob.gt/portal/puestos-de-control-interinstitucional-pci/" TargetMode="External"/><Relationship Id="rId10" Type="http://schemas.openxmlformats.org/officeDocument/2006/relationships/hyperlink" Target="https://portal.sat.gob.gt/portal/biblioteca-en-linea-sat/legislacion-tributaria/" TargetMode="External"/><Relationship Id="rId19" Type="http://schemas.openxmlformats.org/officeDocument/2006/relationships/hyperlink" Target="https://portal.sat.gob.gt/portal/estadisticas-tributarias-sat/" TargetMode="External"/><Relationship Id="rId31" Type="http://schemas.openxmlformats.org/officeDocument/2006/relationships/hyperlink" Target="https://portal.sat.gob.gt/portal/requisitos-de-vehiculos/" TargetMode="External"/><Relationship Id="rId44" Type="http://schemas.openxmlformats.org/officeDocument/2006/relationships/hyperlink" Target="https://portal.sat.gob.gt/portal/union-aduanera/" TargetMode="External"/><Relationship Id="rId4" Type="http://schemas.openxmlformats.org/officeDocument/2006/relationships/hyperlink" Target="https://portal.sat.gob.gt/portal/procedimientos-aduanas/" TargetMode="External"/><Relationship Id="rId9" Type="http://schemas.openxmlformats.org/officeDocument/2006/relationships/hyperlink" Target="https://portal.sat.gob.gt/portal/biblioteca-en-linea-sat/legislacion-aduanera/" TargetMode="External"/><Relationship Id="rId14" Type="http://schemas.openxmlformats.org/officeDocument/2006/relationships/hyperlink" Target="https://portal.sat.gob.gt/portal/facilitacion-de-comercio/" TargetMode="External"/><Relationship Id="rId22" Type="http://schemas.openxmlformats.org/officeDocument/2006/relationships/hyperlink" Target="https://portal.sat.gob.gt/portal/preguntas-frecuentes/cumplimiento-tributario/" TargetMode="External"/><Relationship Id="rId27"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/><Relationship Id="rId30" Type="http://schemas.openxmlformats.org/officeDocument/2006/relationships/hyperlink" Target="https://portal.sat.gob.gt/portal/requisitos-de-aduanas/" TargetMode="External"/><Relationship Id="rId35" Type="http://schemas.openxmlformats.org/officeDocument/2006/relationships/hyperlink" Target="https://portal.sat.gob.gt/portal/requisitos-de-personas-empresas/" TargetMode="External"/><Relationship Id="rId43" Type="http://schemas.openxmlformats.org/officeDocument/2006/relationships/hyperlink" Target="https://portal.sat.gob.gt/portal/tasas-e-intereses/" TargetMode="External"/><Relationship Id="rId48" Type="http://schemas.openxmlformats.org/officeDocument/2006/relationships/hyperlink" Target="https://portal.sat.gob.gt/portal/programa-miad/sistemas-de-video-vigilancia-cctv/" TargetMode="External"/><Relationship Id="rId8" Type="http://schemas.openxmlformats.org/officeDocument/2006/relationships/hyperlink" Target="https://portal.sat.gob.gt/portal/consulta-movimiento-convenio/" TargetMode="External"/><Relationship Id="rId3" Type="http://schemas.openxmlformats.org/officeDocument/2006/relationships/hyperlink" Target="https://portal.sat.gob.gt/portal/efactura/" TargetMode="External"/><Relationship Id="rId12" Type="http://schemas.openxmlformats.org/officeDocument/2006/relationships/hyperlink" Target="https://portal.sat.gob.gt/portal/procedimientos-aduanas/" TargetMode="External"/><Relationship Id="rId17" Type="http://schemas.openxmlformats.org/officeDocument/2006/relationships/hyperlink" Target="https://portal.sat.gob.gt/portal/procedimientos-aduanas/" TargetMode="External"/><Relationship Id="rId25" Type="http://schemas.openxmlformats.org/officeDocument/2006/relationships/hyperlink" Target="https://portal.sat.gob.gt/portal/programa-miad/" TargetMode="External"/><Relationship Id="rId33" Type="http://schemas.openxmlformats.org/officeDocument/2006/relationships/hyperlink" Target="https://portal.sat.gob.gt/portal/requisitos-de-vehiculos/" TargetMode="External"/><Relationship Id="rId38" Type="http://schemas.openxmlformats.org/officeDocument/2006/relationships/hyperlink" Target="https://portal.sat.gob.gt/portal/requisitos-de-vehiculos/" TargetMode="External"/><Relationship Id="rId46" Type="http://schemas.openxmlformats.org/officeDocument/2006/relationships/hyperlink" Target="https://portal.sat.gob.gt/portal/programa-miad/componente-procesos-2/importacion/" TargetMode="External"/><Relationship Id="rId20" Type="http://schemas.openxmlformats.org/officeDocument/2006/relationships/hyperlink" Target="https://portal.sat.gob.gt/portal/procedimientos-aduanas/" TargetMode="External"/><Relationship Id="rId41" Type="http://schemas.openxmlformats.org/officeDocument/2006/relationships/hyperlink" Target="https://portal.sat.gob.gt/portal/requisitos-de-vehiculos/" TargetMode="External"/><Relationship Id="rId1" Type="http://schemas.openxmlformats.org/officeDocument/2006/relationships/hyperlink" Target="https://portal.sat.gob.gt/portal/" TargetMode="External"/><Relationship Id="rId6" Type="http://schemas.openxmlformats.org/officeDocument/2006/relationships/hyperlink" Target="https://portal.sat.gob.gt/portal/solvencia-fiscal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portal.sat.gob.gt/portal/biblioteca-en-linea-sat/legislacion-aduanera/" TargetMode="External"/><Relationship Id="rId13" Type="http://schemas.openxmlformats.org/officeDocument/2006/relationships/hyperlink" Target="https://portal.sat.gob.gt/portal/preguntas-frecuentes/cumplimiento-tributario/" TargetMode="External"/><Relationship Id="rId18" Type="http://schemas.openxmlformats.org/officeDocument/2006/relationships/hyperlink" Target="https://portal.sat.gob.gt/portal/biblioteca-en-linea-sat/legislacion-tributaria/" TargetMode="External"/><Relationship Id="rId3" Type="http://schemas.openxmlformats.org/officeDocument/2006/relationships/hyperlink" Target="https://portal.sat.gob.gt/portal/requisitos-de-vehiculos/" TargetMode="External"/><Relationship Id="rId7" Type="http://schemas.openxmlformats.org/officeDocument/2006/relationships/hyperlink" Target="https://portal.sat.gob.gt/portal/requisitos-de-vehiculos/" TargetMode="External"/><Relationship Id="rId12" Type="http://schemas.openxmlformats.org/officeDocument/2006/relationships/hyperlink" Target="https://portal.sat.gob.gt/portal/preguntas-frecuentes/cumplimiento-tributario/" TargetMode="External"/><Relationship Id="rId17" Type="http://schemas.openxmlformats.org/officeDocument/2006/relationships/hyperlink" Target="https://portal.sat.gob.gt/portal/libre-acceso-la-informacion-publica/" TargetMode="External"/><Relationship Id="rId2" Type="http://schemas.openxmlformats.org/officeDocument/2006/relationships/hyperlink" Target="https://portal.sat.gob.gt/portal/requisitos-de-vehiculos/" TargetMode="External"/><Relationship Id="rId16"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/><Relationship Id="rId20" Type="http://schemas.microsoft.com/office/2019/04/relationships/namedSheetView" Target="../namedSheetViews/namedSheetView1.xml"/><Relationship Id="rId1" Type="http://schemas.openxmlformats.org/officeDocument/2006/relationships/hyperlink" Target="https://portal.sat.gob.gt/portal/requisitos-de-personas-empresas/" TargetMode="External"/><Relationship Id="rId6" Type="http://schemas.openxmlformats.org/officeDocument/2006/relationships/hyperlink" Target="https://portal.sat.gob.gt/portal/requisitos-de-vehiculos/" TargetMode="External"/><Relationship Id="rId11" Type="http://schemas.openxmlformats.org/officeDocument/2006/relationships/hyperlink" Target="https://portal.sat.gob.gt/portal/requisitos-de-personas-empresas/" TargetMode="External"/><Relationship Id="rId5" Type="http://schemas.openxmlformats.org/officeDocument/2006/relationships/hyperlink" Target="https://portal.sat.gob.gt/portal/requisitos-de-vehiculos/" TargetMode="External"/><Relationship Id="rId15" Type="http://schemas.openxmlformats.org/officeDocument/2006/relationships/hyperlink" Target="https://portal.sat.gob.gt/portal/emision-constancias-de-eSIencion-de-iva-civa/" TargetMode="External"/><Relationship Id="rId10" Type="http://schemas.openxmlformats.org/officeDocument/2006/relationships/hyperlink" Target="https://portal.sat.gob.gt/portal/preguntas-frecuentes/cumplimiento-tributario/" TargetMode="External"/><Relationship Id="rId19" Type="http://schemas.openxmlformats.org/officeDocument/2006/relationships/table" Target="../tables/table9.xml"/><Relationship Id="rId4" Type="http://schemas.openxmlformats.org/officeDocument/2006/relationships/hyperlink" Target="https://portal.sat.gob.gt/portal/requisitos-de-vehiculos/" TargetMode="External"/><Relationship Id="rId9" Type="http://schemas.openxmlformats.org/officeDocument/2006/relationships/hyperlink" Target="https://portal.sat.gob.gt/portal/" TargetMode="External"/><Relationship Id="rId14" Type="http://schemas.openxmlformats.org/officeDocument/2006/relationships/hyperlink" Target="https://portal.sat.gob.gt/portal/requisitos-de-personas-empres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3B8A-30B8-4923-AEDA-0E60BF0E5ABE}">
  <dimension ref="C2:P21"/>
  <sheetViews>
    <sheetView zoomScale="70" zoomScaleNormal="70" workbookViewId="0">
      <selection activeCell="G5" sqref="G5"/>
    </sheetView>
  </sheetViews>
  <sheetFormatPr baseColWidth="10" defaultColWidth="11.44140625" defaultRowHeight="14.4" x14ac:dyDescent="0.3"/>
  <cols>
    <col min="3" max="3" width="14.109375" bestFit="1" customWidth="1"/>
    <col min="4" max="4" width="44.5546875" customWidth="1"/>
    <col min="5" max="5" width="4.6640625" style="3" customWidth="1"/>
    <col min="6" max="6" width="19.5546875" style="3" customWidth="1"/>
    <col min="7" max="7" width="17.6640625" style="3" customWidth="1"/>
    <col min="8" max="8" width="18.44140625" style="3" customWidth="1"/>
    <col min="9" max="9" width="18.6640625" style="3" customWidth="1"/>
    <col min="10" max="12" width="18.44140625" style="3" customWidth="1"/>
    <col min="13" max="13" width="12.33203125" style="3" customWidth="1"/>
    <col min="14" max="14" width="18.44140625" style="3" customWidth="1"/>
    <col min="15" max="15" width="16" style="3" customWidth="1"/>
    <col min="16" max="16" width="18.44140625" style="3" customWidth="1"/>
  </cols>
  <sheetData>
    <row r="2" spans="4:16" x14ac:dyDescent="0.3">
      <c r="H2" s="150"/>
      <c r="I2" s="150"/>
      <c r="J2" s="150"/>
      <c r="K2" s="150"/>
      <c r="L2" s="150"/>
      <c r="M2" s="150"/>
      <c r="N2" s="150"/>
      <c r="O2" s="150"/>
      <c r="P2" s="150"/>
    </row>
    <row r="3" spans="4:16" x14ac:dyDescent="0.3">
      <c r="H3" s="151" t="s">
        <v>425</v>
      </c>
      <c r="I3" s="151"/>
      <c r="J3" s="151"/>
      <c r="K3" s="151"/>
      <c r="L3" s="151"/>
      <c r="M3" s="151"/>
      <c r="N3" s="151"/>
      <c r="O3" s="151"/>
      <c r="P3" s="151"/>
    </row>
    <row r="4" spans="4:16" x14ac:dyDescent="0.3">
      <c r="D4" t="s">
        <v>426</v>
      </c>
      <c r="E4" s="4" t="s">
        <v>0</v>
      </c>
      <c r="F4" s="5" t="s">
        <v>1</v>
      </c>
      <c r="G4" s="5" t="s">
        <v>2</v>
      </c>
      <c r="H4" s="5" t="s">
        <v>427</v>
      </c>
      <c r="I4" s="5" t="s">
        <v>3</v>
      </c>
      <c r="J4" s="5" t="s">
        <v>4</v>
      </c>
      <c r="K4" s="5" t="s">
        <v>5</v>
      </c>
      <c r="L4" s="5" t="s">
        <v>6</v>
      </c>
      <c r="M4" s="5" t="s">
        <v>7</v>
      </c>
      <c r="N4" s="5" t="s">
        <v>8</v>
      </c>
      <c r="O4" s="5" t="s">
        <v>9</v>
      </c>
      <c r="P4" s="6" t="s">
        <v>10</v>
      </c>
    </row>
    <row r="5" spans="4:16" x14ac:dyDescent="0.3">
      <c r="D5" s="149" t="s">
        <v>421</v>
      </c>
      <c r="E5" s="7">
        <v>1</v>
      </c>
      <c r="F5" s="8" t="s">
        <v>11</v>
      </c>
      <c r="G5" s="8">
        <f>COUNTIF(NITsinObligaciones[URL],"*")</f>
        <v>23</v>
      </c>
      <c r="H5" s="8"/>
      <c r="I5" s="8"/>
      <c r="J5" s="8"/>
      <c r="K5" s="8"/>
      <c r="L5" s="8"/>
      <c r="M5" s="8"/>
      <c r="N5" s="8"/>
      <c r="O5" s="8"/>
      <c r="P5" s="9"/>
    </row>
    <row r="6" spans="4:16" ht="28.95" customHeight="1" x14ac:dyDescent="0.3">
      <c r="D6" s="149"/>
      <c r="E6" s="10">
        <v>2</v>
      </c>
      <c r="F6" s="11" t="s">
        <v>12</v>
      </c>
      <c r="G6" s="11">
        <f>'Pequeños Contribuyentes'!D3</f>
        <v>39</v>
      </c>
      <c r="H6" s="12" t="s">
        <v>13</v>
      </c>
      <c r="I6" s="12" t="s">
        <v>14</v>
      </c>
      <c r="J6" s="12" t="s">
        <v>15</v>
      </c>
      <c r="L6" s="11"/>
      <c r="M6" s="11"/>
      <c r="N6" s="11"/>
      <c r="O6" s="11"/>
      <c r="P6" s="13"/>
    </row>
    <row r="7" spans="4:16" x14ac:dyDescent="0.3">
      <c r="D7" s="149"/>
      <c r="E7" s="7"/>
      <c r="F7" s="8"/>
      <c r="G7" s="8"/>
      <c r="H7" s="8">
        <f>'Pequeños Contribuyentes'!$D$4</f>
        <v>39</v>
      </c>
      <c r="I7" s="8">
        <f>'Pequeños Contribuyentes'!$D$4</f>
        <v>39</v>
      </c>
      <c r="J7" s="8">
        <f>'Pequeños Contribuyentes'!$D$4</f>
        <v>39</v>
      </c>
      <c r="K7" s="8"/>
      <c r="L7" s="8"/>
      <c r="M7" s="8"/>
      <c r="N7" s="8"/>
      <c r="O7" s="8"/>
      <c r="P7" s="9"/>
    </row>
    <row r="8" spans="4:16" ht="27.6" x14ac:dyDescent="0.3">
      <c r="D8" s="149"/>
      <c r="E8" s="10">
        <v>3</v>
      </c>
      <c r="F8" s="11" t="s">
        <v>16</v>
      </c>
      <c r="G8" s="11">
        <f>+'Contribuyente General'!$D$3</f>
        <v>37</v>
      </c>
      <c r="H8" s="12" t="s">
        <v>16</v>
      </c>
      <c r="I8" s="12" t="s">
        <v>17</v>
      </c>
      <c r="J8" s="11"/>
      <c r="K8" s="11"/>
      <c r="L8" s="11"/>
      <c r="M8" s="11"/>
      <c r="N8" s="11"/>
      <c r="O8" s="11"/>
      <c r="P8" s="13"/>
    </row>
    <row r="9" spans="4:16" x14ac:dyDescent="0.3">
      <c r="D9" s="149"/>
      <c r="E9" s="7"/>
      <c r="F9" s="8"/>
      <c r="G9" s="8"/>
      <c r="H9" s="8">
        <f>+'Contribuyente General'!$D$7</f>
        <v>37</v>
      </c>
      <c r="I9" s="8">
        <f>+'Contribuyente General'!$E$7</f>
        <v>36</v>
      </c>
      <c r="J9" s="8"/>
      <c r="K9" s="8"/>
      <c r="L9" s="8"/>
      <c r="M9" s="8"/>
      <c r="N9" s="8"/>
      <c r="O9" s="8"/>
      <c r="P9" s="9"/>
    </row>
    <row r="10" spans="4:16" ht="28.8" x14ac:dyDescent="0.3">
      <c r="D10" s="149"/>
      <c r="E10" s="10">
        <v>4</v>
      </c>
      <c r="F10" s="11" t="s">
        <v>18</v>
      </c>
      <c r="G10" s="11">
        <v>36</v>
      </c>
      <c r="H10" s="12" t="s">
        <v>19</v>
      </c>
      <c r="I10" s="12" t="s">
        <v>20</v>
      </c>
      <c r="J10" s="12" t="s">
        <v>17</v>
      </c>
      <c r="K10" s="11"/>
      <c r="L10" s="11"/>
      <c r="M10" s="11"/>
      <c r="N10" s="11"/>
      <c r="O10" s="11"/>
      <c r="P10" s="13"/>
    </row>
    <row r="11" spans="4:16" x14ac:dyDescent="0.3">
      <c r="D11" s="21"/>
      <c r="E11" s="7"/>
      <c r="F11" s="8"/>
      <c r="G11" s="8"/>
      <c r="H11" s="8">
        <f>COUNTIF(ContribuyentesEspeciales[Medianos], "SI")</f>
        <v>32</v>
      </c>
      <c r="I11" s="8">
        <f>COUNTIF(ContribuyentesEspeciales[Grandes], "SI")</f>
        <v>32</v>
      </c>
      <c r="J11" s="8">
        <v>36</v>
      </c>
      <c r="K11" s="8"/>
      <c r="L11" s="8"/>
      <c r="M11" s="8"/>
      <c r="N11" s="8"/>
      <c r="O11" s="8"/>
      <c r="P11" s="9"/>
    </row>
    <row r="12" spans="4:16" ht="28.8" x14ac:dyDescent="0.3">
      <c r="D12" s="146" t="s">
        <v>422</v>
      </c>
      <c r="E12" s="10">
        <v>5</v>
      </c>
      <c r="F12" s="11" t="s">
        <v>21</v>
      </c>
      <c r="G12" s="11">
        <v>48</v>
      </c>
      <c r="H12" s="12" t="s">
        <v>22</v>
      </c>
      <c r="I12" s="12" t="s">
        <v>23</v>
      </c>
      <c r="J12" s="52" t="s">
        <v>24</v>
      </c>
      <c r="K12" s="11"/>
      <c r="L12" s="11"/>
      <c r="M12" s="11"/>
      <c r="N12" s="11"/>
      <c r="O12" s="11"/>
      <c r="P12" s="13"/>
    </row>
    <row r="13" spans="4:16" x14ac:dyDescent="0.3">
      <c r="D13" s="21"/>
      <c r="E13" s="7"/>
      <c r="F13" s="8"/>
      <c r="G13" s="8"/>
      <c r="H13" s="8">
        <f>+'Importadores y Exportadores'!$D$8</f>
        <v>45</v>
      </c>
      <c r="I13" s="8">
        <f>+'Importadores y Exportadores'!$E$8</f>
        <v>46</v>
      </c>
      <c r="J13" s="8">
        <f>+'Importadores y Exportadores'!$F$8</f>
        <v>44</v>
      </c>
      <c r="K13" s="8"/>
      <c r="L13" s="8"/>
      <c r="M13" s="8"/>
      <c r="N13" s="8"/>
      <c r="O13" s="8"/>
      <c r="P13" s="9"/>
    </row>
    <row r="14" spans="4:16" ht="41.4" x14ac:dyDescent="0.3">
      <c r="D14" s="146" t="s">
        <v>422</v>
      </c>
      <c r="E14" s="10">
        <v>8</v>
      </c>
      <c r="F14" s="11" t="s">
        <v>37</v>
      </c>
      <c r="G14" s="11">
        <f>+'Auxiliares Función Pública'!$D$3</f>
        <v>50</v>
      </c>
      <c r="H14" s="12" t="s">
        <v>38</v>
      </c>
      <c r="I14" s="12" t="s">
        <v>39</v>
      </c>
      <c r="J14" s="12" t="s">
        <v>40</v>
      </c>
      <c r="K14" s="12" t="s">
        <v>41</v>
      </c>
      <c r="L14" s="12" t="s">
        <v>42</v>
      </c>
      <c r="M14" s="12" t="s">
        <v>43</v>
      </c>
      <c r="N14" s="12" t="s">
        <v>44</v>
      </c>
      <c r="O14" s="12" t="s">
        <v>45</v>
      </c>
      <c r="P14" s="14" t="s">
        <v>46</v>
      </c>
    </row>
    <row r="15" spans="4:16" x14ac:dyDescent="0.3">
      <c r="D15" s="21"/>
      <c r="E15" s="7"/>
      <c r="F15" s="8"/>
      <c r="G15" s="8"/>
      <c r="H15" s="8">
        <f>+'Auxiliares Función Pública'!$D$10</f>
        <v>48</v>
      </c>
      <c r="I15" s="8">
        <f>+'Auxiliares Función Pública'!$E$10</f>
        <v>47</v>
      </c>
      <c r="J15" s="8">
        <f>+'Auxiliares Función Pública'!F10</f>
        <v>45</v>
      </c>
      <c r="K15" s="8">
        <f>+'Auxiliares Función Pública'!G10</f>
        <v>45</v>
      </c>
      <c r="L15" s="8">
        <f>+'Auxiliares Función Pública'!$H$10</f>
        <v>45</v>
      </c>
      <c r="M15" s="8">
        <f>+'Auxiliares Función Pública'!$I$10</f>
        <v>45</v>
      </c>
      <c r="N15" s="8">
        <f>+'Auxiliares Función Pública'!$J$10</f>
        <v>50</v>
      </c>
      <c r="O15" s="8">
        <f>+'Auxiliares Función Pública'!$K$10</f>
        <v>48</v>
      </c>
      <c r="P15" s="9">
        <f>+'Auxiliares Función Pública'!L10</f>
        <v>45</v>
      </c>
    </row>
    <row r="16" spans="4:16" x14ac:dyDescent="0.3">
      <c r="D16" s="147" t="s">
        <v>423</v>
      </c>
      <c r="E16" s="10">
        <v>7</v>
      </c>
      <c r="F16" s="11" t="s">
        <v>31</v>
      </c>
      <c r="G16" s="11">
        <f>+'Terceras Personas'!$D$3</f>
        <v>62</v>
      </c>
      <c r="H16" s="12" t="s">
        <v>32</v>
      </c>
      <c r="I16" s="12" t="s">
        <v>33</v>
      </c>
      <c r="J16" s="12" t="s">
        <v>34</v>
      </c>
      <c r="K16" s="12" t="s">
        <v>35</v>
      </c>
      <c r="L16" s="12" t="s">
        <v>36</v>
      </c>
      <c r="M16" s="11"/>
      <c r="N16" s="11"/>
      <c r="O16" s="11"/>
      <c r="P16" s="13"/>
    </row>
    <row r="17" spans="3:16" x14ac:dyDescent="0.3">
      <c r="D17" s="21"/>
      <c r="E17" s="7"/>
      <c r="F17" s="8"/>
      <c r="G17" s="8"/>
      <c r="H17" s="8">
        <f>+'Terceras Personas'!$D$10</f>
        <v>53</v>
      </c>
      <c r="I17" s="8">
        <f>+'Terceras Personas'!$E$10</f>
        <v>53</v>
      </c>
      <c r="J17" s="8">
        <f>+'Terceras Personas'!$F$10</f>
        <v>61</v>
      </c>
      <c r="K17" s="8">
        <f>+'Terceras Personas'!$G$10</f>
        <v>61</v>
      </c>
      <c r="L17" s="8">
        <f>+'Terceras Personas'!$H$10</f>
        <v>59</v>
      </c>
      <c r="M17" s="8"/>
      <c r="N17" s="8"/>
      <c r="O17" s="8"/>
      <c r="P17" s="9"/>
    </row>
    <row r="18" spans="3:16" ht="45.75" customHeight="1" x14ac:dyDescent="0.3">
      <c r="C18" s="148" t="s">
        <v>424</v>
      </c>
      <c r="D18" s="148" t="s">
        <v>424</v>
      </c>
      <c r="E18" s="10">
        <v>6</v>
      </c>
      <c r="F18" s="11" t="s">
        <v>25</v>
      </c>
      <c r="G18" s="11">
        <f>+Exentos!$D$4</f>
        <v>49</v>
      </c>
      <c r="H18" s="12" t="s">
        <v>26</v>
      </c>
      <c r="I18" s="12" t="s">
        <v>27</v>
      </c>
      <c r="J18" s="12" t="s">
        <v>28</v>
      </c>
      <c r="K18" s="52" t="s">
        <v>29</v>
      </c>
      <c r="L18" s="12" t="s">
        <v>30</v>
      </c>
      <c r="M18" s="11"/>
      <c r="N18" s="11"/>
      <c r="O18" s="11"/>
      <c r="P18" s="13"/>
    </row>
    <row r="19" spans="3:16" x14ac:dyDescent="0.3">
      <c r="D19" s="21"/>
      <c r="E19" s="7"/>
      <c r="F19" s="8"/>
      <c r="G19" s="8"/>
      <c r="H19" s="8">
        <f>+Exentos!$D$25</f>
        <v>29</v>
      </c>
      <c r="I19" s="8">
        <f>+Exentos!$E$25</f>
        <v>28</v>
      </c>
      <c r="J19" s="8">
        <f>+Exentos!$F$25</f>
        <v>39</v>
      </c>
      <c r="K19" s="8">
        <f>+Exentos!$G$25</f>
        <v>6</v>
      </c>
      <c r="L19" s="16">
        <f>+Exentos!$H$25</f>
        <v>33</v>
      </c>
      <c r="M19" s="8"/>
      <c r="N19" s="8"/>
      <c r="O19" s="8"/>
      <c r="P19" s="9"/>
    </row>
    <row r="20" spans="3:16" ht="24.75" customHeight="1" x14ac:dyDescent="0.3">
      <c r="C20" s="148" t="s">
        <v>424</v>
      </c>
      <c r="D20" s="148" t="s">
        <v>424</v>
      </c>
      <c r="E20" s="10">
        <v>9</v>
      </c>
      <c r="F20" s="11" t="s">
        <v>47</v>
      </c>
      <c r="G20" s="11">
        <f>+'Entidades del Estado'!$D$3</f>
        <v>26</v>
      </c>
      <c r="H20" s="12" t="s">
        <v>48</v>
      </c>
      <c r="I20" s="12" t="s">
        <v>49</v>
      </c>
      <c r="J20" s="12" t="s">
        <v>50</v>
      </c>
      <c r="K20" s="12" t="s">
        <v>51</v>
      </c>
      <c r="L20" s="11"/>
      <c r="M20" s="11"/>
      <c r="N20" s="11"/>
      <c r="O20" s="11"/>
      <c r="P20" s="13"/>
    </row>
    <row r="21" spans="3:16" x14ac:dyDescent="0.3">
      <c r="E21" s="15"/>
      <c r="F21" s="16"/>
      <c r="G21" s="16"/>
      <c r="H21" s="16">
        <f>+'Entidades del Estado'!$D$5</f>
        <v>26</v>
      </c>
      <c r="I21" s="16">
        <f>+'Entidades del Estado'!$E$5</f>
        <v>26</v>
      </c>
      <c r="J21" s="16">
        <f>+'Entidades del Estado'!$F$5</f>
        <v>26</v>
      </c>
      <c r="K21" s="16">
        <f>+'Entidades del Estado'!$G$5</f>
        <v>26</v>
      </c>
      <c r="L21" s="16"/>
      <c r="M21" s="16"/>
      <c r="N21" s="16"/>
      <c r="O21" s="16"/>
      <c r="P21" s="17"/>
    </row>
  </sheetData>
  <mergeCells count="3">
    <mergeCell ref="D5:D10"/>
    <mergeCell ref="H2:P2"/>
    <mergeCell ref="H3:P3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00B6E-626D-4885-9AEF-0AE4ECE9ABF4}">
  <dimension ref="A2:F44"/>
  <sheetViews>
    <sheetView topLeftCell="A25" workbookViewId="0">
      <selection activeCell="A33" sqref="A33"/>
    </sheetView>
  </sheetViews>
  <sheetFormatPr baseColWidth="10" defaultColWidth="11.44140625" defaultRowHeight="14.4" x14ac:dyDescent="0.3"/>
  <cols>
    <col min="1" max="1" width="120.33203125" bestFit="1" customWidth="1"/>
    <col min="5" max="5" width="21.88671875" bestFit="1" customWidth="1"/>
    <col min="6" max="6" width="20.6640625" bestFit="1" customWidth="1"/>
  </cols>
  <sheetData>
    <row r="2" spans="1:6" x14ac:dyDescent="0.3">
      <c r="A2" s="22" t="s">
        <v>12</v>
      </c>
      <c r="B2" s="23">
        <v>40</v>
      </c>
      <c r="C2" s="25"/>
      <c r="E2" t="s">
        <v>52</v>
      </c>
      <c r="F2" t="s">
        <v>53</v>
      </c>
    </row>
    <row r="3" spans="1:6" x14ac:dyDescent="0.3">
      <c r="A3" s="24" t="s">
        <v>54</v>
      </c>
      <c r="B3" s="23">
        <v>40</v>
      </c>
      <c r="C3" s="25"/>
      <c r="E3" s="24"/>
      <c r="F3" s="25"/>
    </row>
    <row r="4" spans="1:6" x14ac:dyDescent="0.3">
      <c r="A4" s="24" t="s">
        <v>55</v>
      </c>
      <c r="B4" s="23">
        <v>40</v>
      </c>
      <c r="C4" s="25"/>
    </row>
    <row r="5" spans="1:6" x14ac:dyDescent="0.3">
      <c r="A5" s="22" t="s">
        <v>56</v>
      </c>
      <c r="B5" s="23">
        <v>37</v>
      </c>
    </row>
    <row r="6" spans="1:6" x14ac:dyDescent="0.3">
      <c r="A6" s="24" t="s">
        <v>57</v>
      </c>
      <c r="B6" s="23">
        <v>36</v>
      </c>
    </row>
    <row r="7" spans="1:6" x14ac:dyDescent="0.3">
      <c r="A7" s="19" t="s">
        <v>58</v>
      </c>
      <c r="B7" s="20"/>
    </row>
    <row r="8" spans="1:6" x14ac:dyDescent="0.3">
      <c r="A8" s="19" t="s">
        <v>59</v>
      </c>
      <c r="B8" s="20"/>
    </row>
    <row r="9" spans="1:6" x14ac:dyDescent="0.3">
      <c r="A9" s="24" t="s">
        <v>60</v>
      </c>
      <c r="B9" s="23">
        <v>33</v>
      </c>
      <c r="C9" s="25"/>
    </row>
    <row r="10" spans="1:6" x14ac:dyDescent="0.3">
      <c r="A10" s="24" t="s">
        <v>61</v>
      </c>
      <c r="B10" s="23">
        <v>33</v>
      </c>
      <c r="C10" s="25"/>
    </row>
    <row r="11" spans="1:6" x14ac:dyDescent="0.3">
      <c r="A11" s="18" t="s">
        <v>62</v>
      </c>
      <c r="B11" s="20"/>
    </row>
    <row r="12" spans="1:6" x14ac:dyDescent="0.3">
      <c r="A12" s="18" t="s">
        <v>63</v>
      </c>
      <c r="B12" s="20"/>
    </row>
    <row r="13" spans="1:6" x14ac:dyDescent="0.3">
      <c r="A13" s="22" t="s">
        <v>64</v>
      </c>
      <c r="B13" s="23">
        <v>60</v>
      </c>
    </row>
    <row r="14" spans="1:6" x14ac:dyDescent="0.3">
      <c r="A14" s="19" t="s">
        <v>65</v>
      </c>
      <c r="B14" s="20"/>
    </row>
    <row r="15" spans="1:6" x14ac:dyDescent="0.3">
      <c r="A15" s="24" t="s">
        <v>66</v>
      </c>
      <c r="B15" s="23">
        <v>39</v>
      </c>
    </row>
    <row r="16" spans="1:6" x14ac:dyDescent="0.3">
      <c r="A16" s="19" t="s">
        <v>67</v>
      </c>
      <c r="B16" s="20"/>
    </row>
    <row r="17" spans="1:3" x14ac:dyDescent="0.3">
      <c r="A17" s="19" t="s">
        <v>68</v>
      </c>
      <c r="B17" s="20"/>
    </row>
    <row r="18" spans="1:3" x14ac:dyDescent="0.3">
      <c r="A18" s="19" t="s">
        <v>69</v>
      </c>
      <c r="B18" s="20"/>
    </row>
    <row r="19" spans="1:3" x14ac:dyDescent="0.3">
      <c r="A19" s="24" t="s">
        <v>70</v>
      </c>
      <c r="B19" s="23">
        <v>6</v>
      </c>
    </row>
    <row r="20" spans="1:3" x14ac:dyDescent="0.3">
      <c r="A20" s="22" t="s">
        <v>71</v>
      </c>
      <c r="B20" s="23">
        <v>72</v>
      </c>
    </row>
    <row r="21" spans="1:3" x14ac:dyDescent="0.3">
      <c r="A21" s="24" t="s">
        <v>72</v>
      </c>
      <c r="B21" s="23">
        <v>55</v>
      </c>
    </row>
    <row r="22" spans="1:3" x14ac:dyDescent="0.3">
      <c r="A22" s="24" t="s">
        <v>73</v>
      </c>
      <c r="B22" s="23">
        <v>54</v>
      </c>
    </row>
    <row r="23" spans="1:3" x14ac:dyDescent="0.3">
      <c r="A23" s="24" t="s">
        <v>74</v>
      </c>
      <c r="B23" s="23">
        <v>66</v>
      </c>
    </row>
    <row r="24" spans="1:3" x14ac:dyDescent="0.3">
      <c r="A24" s="24" t="s">
        <v>75</v>
      </c>
      <c r="B24" s="23">
        <v>67</v>
      </c>
    </row>
    <row r="25" spans="1:3" x14ac:dyDescent="0.3">
      <c r="A25" s="24" t="s">
        <v>76</v>
      </c>
      <c r="B25" s="23">
        <v>61</v>
      </c>
    </row>
    <row r="26" spans="1:3" x14ac:dyDescent="0.3">
      <c r="A26" s="22" t="s">
        <v>21</v>
      </c>
      <c r="B26" s="23">
        <v>49</v>
      </c>
    </row>
    <row r="27" spans="1:3" x14ac:dyDescent="0.3">
      <c r="A27" s="24" t="s">
        <v>77</v>
      </c>
      <c r="B27" s="23">
        <v>46</v>
      </c>
    </row>
    <row r="28" spans="1:3" x14ac:dyDescent="0.3">
      <c r="A28" s="24" t="s">
        <v>78</v>
      </c>
      <c r="B28" s="23">
        <v>45</v>
      </c>
    </row>
    <row r="29" spans="1:3" x14ac:dyDescent="0.3">
      <c r="A29" s="24" t="s">
        <v>79</v>
      </c>
      <c r="B29" s="23">
        <v>46</v>
      </c>
      <c r="C29" s="25"/>
    </row>
    <row r="30" spans="1:3" x14ac:dyDescent="0.3">
      <c r="A30" s="18" t="s">
        <v>80</v>
      </c>
      <c r="B30" s="51">
        <v>46</v>
      </c>
    </row>
    <row r="31" spans="1:3" x14ac:dyDescent="0.3">
      <c r="A31" s="19" t="s">
        <v>81</v>
      </c>
      <c r="B31" s="20"/>
    </row>
    <row r="32" spans="1:3" x14ac:dyDescent="0.3">
      <c r="A32" s="19" t="s">
        <v>82</v>
      </c>
      <c r="B32" s="20"/>
    </row>
    <row r="33" spans="1:2" x14ac:dyDescent="0.3">
      <c r="A33" s="24" t="s">
        <v>83</v>
      </c>
      <c r="B33" s="23">
        <v>45</v>
      </c>
    </row>
    <row r="34" spans="1:2" x14ac:dyDescent="0.3">
      <c r="A34" s="22" t="s">
        <v>84</v>
      </c>
      <c r="B34" s="22">
        <v>50</v>
      </c>
    </row>
    <row r="35" spans="1:2" x14ac:dyDescent="0.3">
      <c r="A35" s="24" t="s">
        <v>85</v>
      </c>
      <c r="B35" s="23">
        <v>48</v>
      </c>
    </row>
    <row r="36" spans="1:2" x14ac:dyDescent="0.3">
      <c r="A36" s="24" t="s">
        <v>86</v>
      </c>
      <c r="B36" s="23">
        <v>47</v>
      </c>
    </row>
    <row r="37" spans="1:2" x14ac:dyDescent="0.3">
      <c r="A37" s="24" t="s">
        <v>87</v>
      </c>
      <c r="B37" s="23">
        <v>45</v>
      </c>
    </row>
    <row r="38" spans="1:2" x14ac:dyDescent="0.3">
      <c r="A38" s="24" t="s">
        <v>88</v>
      </c>
      <c r="B38" s="23">
        <v>50</v>
      </c>
    </row>
    <row r="39" spans="1:2" x14ac:dyDescent="0.3">
      <c r="A39" s="24" t="s">
        <v>89</v>
      </c>
      <c r="B39" s="23">
        <v>48</v>
      </c>
    </row>
    <row r="40" spans="1:2" x14ac:dyDescent="0.3">
      <c r="A40" s="22" t="s">
        <v>47</v>
      </c>
      <c r="B40" s="23">
        <v>28</v>
      </c>
    </row>
    <row r="41" spans="1:2" x14ac:dyDescent="0.3">
      <c r="A41" s="24" t="s">
        <v>90</v>
      </c>
      <c r="B41" s="23">
        <v>28</v>
      </c>
    </row>
    <row r="42" spans="1:2" x14ac:dyDescent="0.3">
      <c r="A42" s="24" t="s">
        <v>91</v>
      </c>
      <c r="B42" s="23">
        <v>28</v>
      </c>
    </row>
    <row r="43" spans="1:2" x14ac:dyDescent="0.3">
      <c r="A43" s="55" t="s">
        <v>92</v>
      </c>
      <c r="B43" s="23">
        <v>28</v>
      </c>
    </row>
    <row r="44" spans="1:2" x14ac:dyDescent="0.3">
      <c r="A44" s="55" t="s">
        <v>93</v>
      </c>
      <c r="B44" s="23">
        <v>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29"/>
  <sheetViews>
    <sheetView workbookViewId="0">
      <pane ySplit="6" topLeftCell="A26" activePane="bottomLeft" state="frozen"/>
      <selection pane="bottomLeft" activeCell="D29" sqref="B29:D29"/>
    </sheetView>
  </sheetViews>
  <sheetFormatPr baseColWidth="10" defaultColWidth="11.44140625" defaultRowHeight="14.4" x14ac:dyDescent="0.3"/>
  <cols>
    <col min="1" max="1" width="3.44140625" customWidth="1"/>
    <col min="2" max="2" width="6.109375" bestFit="1" customWidth="1"/>
    <col min="3" max="3" width="94.6640625" customWidth="1"/>
    <col min="4" max="4" width="55.6640625" customWidth="1"/>
  </cols>
  <sheetData>
    <row r="1" spans="2:4" s="29" customFormat="1" x14ac:dyDescent="0.3"/>
    <row r="2" spans="2:4" s="29" customFormat="1" x14ac:dyDescent="0.3">
      <c r="C2" s="70" t="s">
        <v>94</v>
      </c>
      <c r="D2" s="107" t="s">
        <v>11</v>
      </c>
    </row>
    <row r="3" spans="2:4" s="29" customFormat="1" x14ac:dyDescent="0.3">
      <c r="C3" s="86" t="s">
        <v>95</v>
      </c>
      <c r="D3" s="93">
        <f>+C5</f>
        <v>23</v>
      </c>
    </row>
    <row r="4" spans="2:4" s="29" customFormat="1" x14ac:dyDescent="0.3"/>
    <row r="5" spans="2:4" s="29" customFormat="1" x14ac:dyDescent="0.3">
      <c r="C5" s="29">
        <f>COUNTIF(NITsinObligaciones[URL],"*")</f>
        <v>23</v>
      </c>
    </row>
    <row r="6" spans="2:4" s="111" customFormat="1" ht="13.8" x14ac:dyDescent="0.3">
      <c r="B6" s="2" t="s">
        <v>0</v>
      </c>
      <c r="C6" s="2" t="s">
        <v>96</v>
      </c>
      <c r="D6" s="2" t="s">
        <v>97</v>
      </c>
    </row>
    <row r="7" spans="2:4" s="29" customFormat="1" ht="43.2" x14ac:dyDescent="0.3">
      <c r="B7" s="138">
        <v>1</v>
      </c>
      <c r="C7" s="139" t="s">
        <v>98</v>
      </c>
      <c r="D7" s="140" t="s">
        <v>99</v>
      </c>
    </row>
    <row r="8" spans="2:4" s="29" customFormat="1" ht="78" customHeight="1" x14ac:dyDescent="0.3">
      <c r="B8" s="1">
        <v>2</v>
      </c>
      <c r="C8" s="112" t="s">
        <v>100</v>
      </c>
      <c r="D8" s="58" t="s">
        <v>101</v>
      </c>
    </row>
    <row r="9" spans="2:4" s="29" customFormat="1" ht="78" customHeight="1" x14ac:dyDescent="0.3">
      <c r="B9" s="138">
        <v>3</v>
      </c>
      <c r="C9" s="141" t="s">
        <v>102</v>
      </c>
      <c r="D9" s="140" t="s">
        <v>103</v>
      </c>
    </row>
    <row r="10" spans="2:4" s="29" customFormat="1" ht="43.2" x14ac:dyDescent="0.3">
      <c r="B10" s="138">
        <v>4</v>
      </c>
      <c r="C10" s="139" t="s">
        <v>104</v>
      </c>
      <c r="D10" s="140" t="s">
        <v>105</v>
      </c>
    </row>
    <row r="11" spans="2:4" s="29" customFormat="1" ht="28.8" x14ac:dyDescent="0.3">
      <c r="B11" s="1">
        <v>5</v>
      </c>
      <c r="C11" s="112" t="s">
        <v>106</v>
      </c>
      <c r="D11" s="58" t="s">
        <v>107</v>
      </c>
    </row>
    <row r="12" spans="2:4" s="29" customFormat="1" ht="63" customHeight="1" x14ac:dyDescent="0.3">
      <c r="B12" s="1">
        <v>6</v>
      </c>
      <c r="C12" s="112" t="s">
        <v>108</v>
      </c>
      <c r="D12" s="123" t="s">
        <v>109</v>
      </c>
    </row>
    <row r="13" spans="2:4" s="29" customFormat="1" ht="57.6" x14ac:dyDescent="0.3">
      <c r="B13" s="1">
        <v>7</v>
      </c>
      <c r="C13" s="114" t="s">
        <v>110</v>
      </c>
      <c r="D13" s="58" t="s">
        <v>111</v>
      </c>
    </row>
    <row r="14" spans="2:4" s="29" customFormat="1" ht="43.2" x14ac:dyDescent="0.3">
      <c r="B14" s="1">
        <v>8</v>
      </c>
      <c r="C14" s="114" t="s">
        <v>112</v>
      </c>
      <c r="D14" s="124" t="s">
        <v>113</v>
      </c>
    </row>
    <row r="15" spans="2:4" s="29" customFormat="1" ht="57.6" x14ac:dyDescent="0.3">
      <c r="B15" s="1">
        <v>9</v>
      </c>
      <c r="C15" s="114" t="s">
        <v>114</v>
      </c>
      <c r="D15" s="58" t="s">
        <v>115</v>
      </c>
    </row>
    <row r="16" spans="2:4" s="29" customFormat="1" ht="28.8" x14ac:dyDescent="0.3">
      <c r="B16" s="138">
        <v>10</v>
      </c>
      <c r="C16" s="142" t="s">
        <v>116</v>
      </c>
      <c r="D16" s="140" t="s">
        <v>117</v>
      </c>
    </row>
    <row r="17" spans="2:4" s="29" customFormat="1" ht="71.25" customHeight="1" x14ac:dyDescent="0.3">
      <c r="B17" s="1">
        <v>11</v>
      </c>
      <c r="C17" s="114" t="s">
        <v>118</v>
      </c>
      <c r="D17" s="58" t="s">
        <v>119</v>
      </c>
    </row>
    <row r="18" spans="2:4" s="29" customFormat="1" ht="71.25" customHeight="1" x14ac:dyDescent="0.3">
      <c r="B18" s="1">
        <v>14</v>
      </c>
      <c r="C18" s="112" t="s">
        <v>120</v>
      </c>
      <c r="D18" s="123" t="s">
        <v>121</v>
      </c>
    </row>
    <row r="19" spans="2:4" s="29" customFormat="1" ht="71.25" customHeight="1" x14ac:dyDescent="0.3">
      <c r="B19" s="1">
        <v>15</v>
      </c>
      <c r="C19" s="114" t="s">
        <v>122</v>
      </c>
      <c r="D19" s="58" t="s">
        <v>123</v>
      </c>
    </row>
    <row r="20" spans="2:4" s="29" customFormat="1" ht="93" customHeight="1" x14ac:dyDescent="0.3">
      <c r="B20" s="1">
        <v>12</v>
      </c>
      <c r="C20" s="114" t="s">
        <v>124</v>
      </c>
      <c r="D20" s="58" t="s">
        <v>125</v>
      </c>
    </row>
    <row r="21" spans="2:4" s="29" customFormat="1" ht="93.75" customHeight="1" x14ac:dyDescent="0.3">
      <c r="B21" s="1">
        <v>13</v>
      </c>
      <c r="C21" s="114" t="s">
        <v>126</v>
      </c>
      <c r="D21" s="58" t="s">
        <v>127</v>
      </c>
    </row>
    <row r="22" spans="2:4" s="29" customFormat="1" ht="93.75" customHeight="1" x14ac:dyDescent="0.3">
      <c r="B22" s="1">
        <v>16</v>
      </c>
      <c r="C22" s="115" t="s">
        <v>128</v>
      </c>
      <c r="D22" s="123" t="s">
        <v>129</v>
      </c>
    </row>
    <row r="23" spans="2:4" s="29" customFormat="1" ht="61.5" customHeight="1" x14ac:dyDescent="0.3">
      <c r="B23" s="1">
        <v>17</v>
      </c>
      <c r="C23" s="114" t="s">
        <v>130</v>
      </c>
      <c r="D23" s="58" t="s">
        <v>131</v>
      </c>
    </row>
    <row r="24" spans="2:4" s="29" customFormat="1" ht="57.75" customHeight="1" x14ac:dyDescent="0.3">
      <c r="B24" s="1">
        <v>18</v>
      </c>
      <c r="C24" s="114" t="s">
        <v>132</v>
      </c>
      <c r="D24" s="58" t="s">
        <v>133</v>
      </c>
    </row>
    <row r="25" spans="2:4" s="29" customFormat="1" ht="61.5" customHeight="1" x14ac:dyDescent="0.3">
      <c r="B25" s="1">
        <v>19</v>
      </c>
      <c r="C25" s="114" t="s">
        <v>134</v>
      </c>
      <c r="D25" s="58" t="s">
        <v>135</v>
      </c>
    </row>
    <row r="26" spans="2:4" s="29" customFormat="1" ht="64.5" customHeight="1" x14ac:dyDescent="0.3">
      <c r="B26" s="1">
        <v>20</v>
      </c>
      <c r="C26" s="113" t="s">
        <v>136</v>
      </c>
      <c r="D26" s="58" t="s">
        <v>137</v>
      </c>
    </row>
    <row r="27" spans="2:4" s="29" customFormat="1" ht="28.8" x14ac:dyDescent="0.3">
      <c r="B27" s="1">
        <v>21</v>
      </c>
      <c r="C27" s="113" t="s">
        <v>138</v>
      </c>
      <c r="D27" s="58" t="s">
        <v>139</v>
      </c>
    </row>
    <row r="28" spans="2:4" s="29" customFormat="1" ht="28.8" x14ac:dyDescent="0.3">
      <c r="B28" s="1">
        <v>22</v>
      </c>
      <c r="C28" s="113" t="s">
        <v>140</v>
      </c>
      <c r="D28" s="58" t="s">
        <v>141</v>
      </c>
    </row>
    <row r="29" spans="2:4" ht="28.8" x14ac:dyDescent="0.3">
      <c r="B29" s="166">
        <v>23</v>
      </c>
      <c r="C29" s="167" t="s">
        <v>142</v>
      </c>
      <c r="D29" s="168" t="s">
        <v>143</v>
      </c>
    </row>
  </sheetData>
  <conditionalFormatting sqref="C15:C16">
    <cfRule type="duplicateValues" dxfId="4" priority="3"/>
  </conditionalFormatting>
  <hyperlinks>
    <hyperlink ref="C21" r:id="rId1" location="1615485066841-639e67c5-51e3" xr:uid="{0F9B6741-D546-42B7-AF34-33C345DBF8FE}"/>
    <hyperlink ref="C17" r:id="rId2" xr:uid="{9542636D-1EC6-410A-9CAE-AB1C161A4E71}"/>
    <hyperlink ref="C27" r:id="rId3" location="1541777125986-97d04375-37ee" xr:uid="{6997EAB1-8870-4015-8B72-B58571E10829}"/>
    <hyperlink ref="C16" r:id="rId4" xr:uid="{5D52699E-3E0F-47E6-B066-014ED3B5D6E9}"/>
    <hyperlink ref="C15" r:id="rId5" xr:uid="{7E82C914-D6C0-45C1-BAFA-4143C417E57B}"/>
    <hyperlink ref="C13" r:id="rId6" xr:uid="{975CBAEC-97F0-4984-AD2D-844923AA991C}"/>
    <hyperlink ref="C7" r:id="rId7" xr:uid="{CD575DD0-24B0-429A-9E56-75DE6936B0E5}"/>
    <hyperlink ref="C14" r:id="rId8" xr:uid="{73831347-3976-4272-9C5A-F87B23F4E06F}"/>
    <hyperlink ref="C8" r:id="rId9" xr:uid="{34B50BD2-DD41-4DAC-9C09-5EE07D2FBC50}"/>
    <hyperlink ref="C11" r:id="rId10" xr:uid="{516D7840-A57A-4EC5-A11B-3E800D33BD81}"/>
    <hyperlink ref="C19" r:id="rId11" xr:uid="{B20ACB37-1845-4137-AA70-2C82BB08CFAF}"/>
    <hyperlink ref="C22" r:id="rId12" xr:uid="{C9E5EFCD-A735-4B85-A385-92327C181DE2}"/>
    <hyperlink ref="C12" r:id="rId13" xr:uid="{84E86248-27C6-4F8C-9621-239F67EBBBD0}"/>
    <hyperlink ref="C18" r:id="rId14" xr:uid="{70B87B01-CF54-4B94-A3D6-8D9A9A4FD2B2}"/>
    <hyperlink ref="C28" r:id="rId15" location="1662393570133-d90819b2-32d3" xr:uid="{25F6B59C-5B62-41A2-8003-EA59CBFC4995}"/>
    <hyperlink ref="C24" r:id="rId16" location="1541722263997-e0d7cba3-7daf" xr:uid="{F1C35299-0CEE-4F82-9CBF-636C946BB510}"/>
    <hyperlink ref="C25" r:id="rId17" location="1541722264551-ab829ede-22f8" xr:uid="{70FD7711-2016-4C67-8EA6-1A9D7EF5C3E0}"/>
    <hyperlink ref="C26" r:id="rId18" location="1541776381173-61f2f55a-46dc" xr:uid="{ECE0D290-013F-4608-AD3D-1EEC67681073}"/>
    <hyperlink ref="C20" r:id="rId19" location="1541621044169-4198d06d-693f" xr:uid="{BA4037B1-3891-47C3-A84A-2F89DA387C74}"/>
    <hyperlink ref="C9" r:id="rId20" xr:uid="{C15329AF-8433-4785-BA60-3E9DFDF48A3F}"/>
    <hyperlink ref="C10" r:id="rId21" location="capacitacion" xr:uid="{FAA9E6DE-F5D4-4541-8C34-459C220CECD2}"/>
    <hyperlink ref="C23" r:id="rId22" location="1541722263760-bed533a1-d75d" xr:uid="{2363D52B-90E2-496E-AE83-48F521AEFEA6}"/>
    <hyperlink ref="C29" r:id="rId23" xr:uid="{03898BAE-7F59-4A41-BECC-E8BCB6CD75D3}"/>
  </hyperlinks>
  <pageMargins left="0.7" right="0.7" top="0.75" bottom="0.75" header="0.3" footer="0.3"/>
  <tableParts count="1">
    <tablePart r:id="rId2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ADDB-66DA-4519-B31E-3878643B05D5}">
  <dimension ref="B2:H48"/>
  <sheetViews>
    <sheetView tabSelected="1" topLeftCell="A44" zoomScale="85" zoomScaleNormal="85" workbookViewId="0">
      <selection activeCell="G48" sqref="G48"/>
    </sheetView>
  </sheetViews>
  <sheetFormatPr baseColWidth="10" defaultColWidth="11.44140625" defaultRowHeight="14.4" x14ac:dyDescent="0.3"/>
  <cols>
    <col min="1" max="1" width="2.44140625" customWidth="1"/>
    <col min="2" max="2" width="5.6640625" bestFit="1" customWidth="1"/>
    <col min="3" max="3" width="95.44140625" customWidth="1"/>
    <col min="4" max="6" width="15.5546875" style="21" customWidth="1"/>
    <col min="7" max="7" width="55.6640625" style="27" customWidth="1"/>
  </cols>
  <sheetData>
    <row r="2" spans="2:7" s="29" customFormat="1" ht="27.6" x14ac:dyDescent="0.3">
      <c r="C2" s="70" t="s">
        <v>94</v>
      </c>
      <c r="D2" s="116" t="s">
        <v>144</v>
      </c>
      <c r="E2" s="116" t="s">
        <v>145</v>
      </c>
      <c r="F2" s="116" t="s">
        <v>146</v>
      </c>
      <c r="G2" s="3"/>
    </row>
    <row r="3" spans="2:7" s="29" customFormat="1" x14ac:dyDescent="0.3">
      <c r="C3" s="86" t="s">
        <v>95</v>
      </c>
      <c r="D3" s="152">
        <f>+D7</f>
        <v>39</v>
      </c>
      <c r="E3" s="152"/>
      <c r="F3" s="152"/>
      <c r="G3" s="3"/>
    </row>
    <row r="4" spans="2:7" s="29" customFormat="1" x14ac:dyDescent="0.3">
      <c r="C4" s="86" t="s">
        <v>147</v>
      </c>
      <c r="D4" s="70">
        <f>+D7</f>
        <v>39</v>
      </c>
      <c r="E4" s="70">
        <f t="shared" ref="E4:F4" si="0">+E7</f>
        <v>39</v>
      </c>
      <c r="F4" s="70">
        <f t="shared" si="0"/>
        <v>39</v>
      </c>
      <c r="G4" s="3"/>
    </row>
    <row r="5" spans="2:7" s="29" customFormat="1" x14ac:dyDescent="0.3">
      <c r="G5" s="3"/>
    </row>
    <row r="6" spans="2:7" s="29" customFormat="1" x14ac:dyDescent="0.3">
      <c r="G6" s="3"/>
    </row>
    <row r="7" spans="2:7" s="29" customFormat="1" x14ac:dyDescent="0.3">
      <c r="D7" s="29">
        <f>COUNTIF('Pequeños Contribuyentes'!$D$9:$D$48,"*")</f>
        <v>39</v>
      </c>
      <c r="E7" s="29">
        <f>COUNTIF('Pequeños Contribuyentes'!$E$9:$E$48,"*")</f>
        <v>39</v>
      </c>
      <c r="F7" s="29">
        <f>COUNTIF('Pequeños Contribuyentes'!$F$9:$F$48,"*")</f>
        <v>39</v>
      </c>
      <c r="G7" s="3"/>
    </row>
    <row r="8" spans="2:7" s="29" customFormat="1" ht="27.6" x14ac:dyDescent="0.3">
      <c r="B8" s="108" t="s">
        <v>148</v>
      </c>
      <c r="C8" s="2" t="s">
        <v>96</v>
      </c>
      <c r="D8" s="69" t="s">
        <v>144</v>
      </c>
      <c r="E8" s="2" t="s">
        <v>145</v>
      </c>
      <c r="F8" s="2" t="s">
        <v>146</v>
      </c>
      <c r="G8" s="69" t="s">
        <v>97</v>
      </c>
    </row>
    <row r="9" spans="2:7" s="29" customFormat="1" ht="56.25" customHeight="1" x14ac:dyDescent="0.3">
      <c r="B9" s="143">
        <v>1</v>
      </c>
      <c r="C9" s="144" t="s">
        <v>98</v>
      </c>
      <c r="D9" s="145" t="s">
        <v>149</v>
      </c>
      <c r="E9" s="145" t="s">
        <v>149</v>
      </c>
      <c r="F9" s="145" t="s">
        <v>149</v>
      </c>
      <c r="G9" s="140" t="s">
        <v>150</v>
      </c>
    </row>
    <row r="10" spans="2:7" s="29" customFormat="1" ht="72" x14ac:dyDescent="0.3">
      <c r="B10" s="143">
        <v>2</v>
      </c>
      <c r="C10" s="144" t="s">
        <v>102</v>
      </c>
      <c r="D10" s="145" t="s">
        <v>149</v>
      </c>
      <c r="E10" s="145" t="s">
        <v>149</v>
      </c>
      <c r="F10" s="145" t="s">
        <v>149</v>
      </c>
      <c r="G10" s="140" t="s">
        <v>151</v>
      </c>
    </row>
    <row r="11" spans="2:7" s="29" customFormat="1" ht="61.5" customHeight="1" x14ac:dyDescent="0.3">
      <c r="B11" s="29">
        <v>3</v>
      </c>
      <c r="C11" s="109" t="s">
        <v>152</v>
      </c>
      <c r="D11" s="62" t="s">
        <v>149</v>
      </c>
      <c r="E11" s="62" t="s">
        <v>149</v>
      </c>
      <c r="F11" s="62" t="s">
        <v>149</v>
      </c>
      <c r="G11" s="125" t="s">
        <v>153</v>
      </c>
    </row>
    <row r="12" spans="2:7" s="29" customFormat="1" ht="57.6" x14ac:dyDescent="0.3">
      <c r="B12" s="29">
        <v>4</v>
      </c>
      <c r="C12" s="109" t="s">
        <v>154</v>
      </c>
      <c r="D12" s="62" t="s">
        <v>149</v>
      </c>
      <c r="E12" s="62" t="s">
        <v>149</v>
      </c>
      <c r="F12" s="62" t="s">
        <v>149</v>
      </c>
      <c r="G12" s="126" t="s">
        <v>155</v>
      </c>
    </row>
    <row r="13" spans="2:7" s="29" customFormat="1" ht="43.2" x14ac:dyDescent="0.3">
      <c r="B13" s="29">
        <v>5</v>
      </c>
      <c r="C13" s="109" t="s">
        <v>156</v>
      </c>
      <c r="D13" s="62" t="s">
        <v>149</v>
      </c>
      <c r="E13" s="62" t="s">
        <v>149</v>
      </c>
      <c r="F13" s="62" t="s">
        <v>149</v>
      </c>
      <c r="G13" s="58" t="s">
        <v>157</v>
      </c>
    </row>
    <row r="14" spans="2:7" s="29" customFormat="1" ht="43.2" x14ac:dyDescent="0.3">
      <c r="B14" s="143">
        <v>6</v>
      </c>
      <c r="C14" s="144" t="s">
        <v>104</v>
      </c>
      <c r="D14" s="145" t="s">
        <v>149</v>
      </c>
      <c r="E14" s="145" t="s">
        <v>149</v>
      </c>
      <c r="F14" s="145" t="s">
        <v>149</v>
      </c>
      <c r="G14" s="140" t="s">
        <v>158</v>
      </c>
    </row>
    <row r="15" spans="2:7" s="29" customFormat="1" ht="28.8" x14ac:dyDescent="0.3">
      <c r="B15" s="29">
        <v>7</v>
      </c>
      <c r="C15" s="109" t="s">
        <v>106</v>
      </c>
      <c r="D15" s="62" t="s">
        <v>149</v>
      </c>
      <c r="E15" s="62" t="s">
        <v>149</v>
      </c>
      <c r="F15" s="62" t="s">
        <v>149</v>
      </c>
      <c r="G15" s="58" t="s">
        <v>107</v>
      </c>
    </row>
    <row r="16" spans="2:7" s="29" customFormat="1" ht="43.2" x14ac:dyDescent="0.3">
      <c r="B16" s="29">
        <v>8</v>
      </c>
      <c r="C16" s="109" t="s">
        <v>159</v>
      </c>
      <c r="D16" s="62" t="s">
        <v>149</v>
      </c>
      <c r="E16" s="62" t="s">
        <v>149</v>
      </c>
      <c r="F16" s="62" t="s">
        <v>149</v>
      </c>
      <c r="G16" s="58" t="s">
        <v>160</v>
      </c>
    </row>
    <row r="17" spans="2:8" s="29" customFormat="1" ht="43.2" x14ac:dyDescent="0.3">
      <c r="B17" s="29">
        <v>9</v>
      </c>
      <c r="C17" s="109" t="s">
        <v>161</v>
      </c>
      <c r="D17" s="62" t="s">
        <v>149</v>
      </c>
      <c r="E17" s="62" t="s">
        <v>149</v>
      </c>
      <c r="F17" s="62" t="s">
        <v>149</v>
      </c>
      <c r="G17" s="58" t="s">
        <v>162</v>
      </c>
    </row>
    <row r="18" spans="2:8" s="29" customFormat="1" ht="43.2" x14ac:dyDescent="0.3">
      <c r="B18" s="29">
        <v>10</v>
      </c>
      <c r="C18" s="117" t="s">
        <v>163</v>
      </c>
      <c r="D18" s="62" t="s">
        <v>149</v>
      </c>
      <c r="E18" s="62" t="s">
        <v>149</v>
      </c>
      <c r="F18" s="62" t="s">
        <v>149</v>
      </c>
      <c r="G18" s="31" t="s">
        <v>164</v>
      </c>
    </row>
    <row r="19" spans="2:8" s="29" customFormat="1" ht="43.2" x14ac:dyDescent="0.3">
      <c r="B19" s="29">
        <v>11</v>
      </c>
      <c r="C19" s="109" t="s">
        <v>165</v>
      </c>
      <c r="D19" s="62" t="s">
        <v>149</v>
      </c>
      <c r="E19" s="62" t="s">
        <v>149</v>
      </c>
      <c r="F19" s="62" t="s">
        <v>149</v>
      </c>
      <c r="G19" s="58" t="s">
        <v>166</v>
      </c>
    </row>
    <row r="20" spans="2:8" s="29" customFormat="1" ht="57.6" x14ac:dyDescent="0.3">
      <c r="B20" s="29">
        <v>12</v>
      </c>
      <c r="C20" s="109" t="s">
        <v>110</v>
      </c>
      <c r="D20" s="62" t="s">
        <v>149</v>
      </c>
      <c r="E20" s="62" t="s">
        <v>149</v>
      </c>
      <c r="F20" s="62" t="s">
        <v>149</v>
      </c>
      <c r="G20" s="58" t="s">
        <v>111</v>
      </c>
    </row>
    <row r="21" spans="2:8" s="29" customFormat="1" ht="43.2" x14ac:dyDescent="0.3">
      <c r="B21" s="29">
        <v>13</v>
      </c>
      <c r="C21" s="109" t="s">
        <v>167</v>
      </c>
      <c r="D21" s="62" t="s">
        <v>149</v>
      </c>
      <c r="E21" s="62" t="s">
        <v>149</v>
      </c>
      <c r="F21" s="62" t="s">
        <v>149</v>
      </c>
      <c r="G21" s="58" t="s">
        <v>168</v>
      </c>
    </row>
    <row r="22" spans="2:8" s="29" customFormat="1" ht="43.2" x14ac:dyDescent="0.3">
      <c r="B22" s="29">
        <v>14</v>
      </c>
      <c r="C22" s="109" t="s">
        <v>169</v>
      </c>
      <c r="D22" s="62" t="s">
        <v>149</v>
      </c>
      <c r="E22" s="62" t="s">
        <v>149</v>
      </c>
      <c r="F22" s="62" t="s">
        <v>149</v>
      </c>
      <c r="G22" s="127" t="s">
        <v>170</v>
      </c>
    </row>
    <row r="23" spans="2:8" s="29" customFormat="1" ht="43.2" x14ac:dyDescent="0.3">
      <c r="B23" s="29">
        <v>15</v>
      </c>
      <c r="C23" s="109" t="s">
        <v>171</v>
      </c>
      <c r="D23" s="62" t="s">
        <v>149</v>
      </c>
      <c r="E23" s="62" t="s">
        <v>149</v>
      </c>
      <c r="F23" s="62" t="s">
        <v>149</v>
      </c>
      <c r="G23" s="58" t="s">
        <v>172</v>
      </c>
    </row>
    <row r="24" spans="2:8" s="29" customFormat="1" ht="43.2" x14ac:dyDescent="0.3">
      <c r="B24" s="29">
        <v>16</v>
      </c>
      <c r="C24" s="110" t="s">
        <v>112</v>
      </c>
      <c r="D24" s="62" t="s">
        <v>149</v>
      </c>
      <c r="E24" s="62" t="s">
        <v>149</v>
      </c>
      <c r="F24" s="62" t="s">
        <v>149</v>
      </c>
      <c r="G24" s="58" t="s">
        <v>113</v>
      </c>
      <c r="H24" s="71"/>
    </row>
    <row r="25" spans="2:8" s="29" customFormat="1" ht="43.2" x14ac:dyDescent="0.3">
      <c r="B25" s="29">
        <v>17</v>
      </c>
      <c r="C25" s="109" t="s">
        <v>173</v>
      </c>
      <c r="D25" s="62" t="s">
        <v>149</v>
      </c>
      <c r="E25" s="62" t="s">
        <v>149</v>
      </c>
      <c r="F25" s="62" t="s">
        <v>149</v>
      </c>
      <c r="G25" s="58" t="s">
        <v>174</v>
      </c>
      <c r="H25" s="71"/>
    </row>
    <row r="26" spans="2:8" s="29" customFormat="1" ht="43.2" x14ac:dyDescent="0.3">
      <c r="B26" s="29">
        <v>18</v>
      </c>
      <c r="C26" s="109" t="s">
        <v>114</v>
      </c>
      <c r="D26" s="62" t="s">
        <v>149</v>
      </c>
      <c r="E26" s="62" t="s">
        <v>149</v>
      </c>
      <c r="F26" s="62" t="s">
        <v>149</v>
      </c>
      <c r="G26" s="61" t="s">
        <v>175</v>
      </c>
      <c r="H26" s="71"/>
    </row>
    <row r="27" spans="2:8" s="29" customFormat="1" ht="43.2" x14ac:dyDescent="0.3">
      <c r="B27" s="29">
        <v>19</v>
      </c>
      <c r="C27" s="109" t="s">
        <v>176</v>
      </c>
      <c r="D27" s="62" t="s">
        <v>149</v>
      </c>
      <c r="E27" s="62" t="s">
        <v>149</v>
      </c>
      <c r="F27" s="62" t="s">
        <v>149</v>
      </c>
      <c r="G27" s="126" t="s">
        <v>177</v>
      </c>
      <c r="H27" s="71"/>
    </row>
    <row r="28" spans="2:8" s="29" customFormat="1" ht="28.8" x14ac:dyDescent="0.3">
      <c r="B28" s="29">
        <v>20</v>
      </c>
      <c r="C28" s="76" t="s">
        <v>116</v>
      </c>
      <c r="D28" s="62" t="s">
        <v>149</v>
      </c>
      <c r="E28" s="62" t="s">
        <v>149</v>
      </c>
      <c r="F28" s="62" t="s">
        <v>149</v>
      </c>
      <c r="G28" s="58" t="s">
        <v>117</v>
      </c>
      <c r="H28" s="71"/>
    </row>
    <row r="29" spans="2:8" s="29" customFormat="1" ht="81.75" customHeight="1" x14ac:dyDescent="0.3">
      <c r="B29" s="29">
        <v>21</v>
      </c>
      <c r="C29" s="109" t="s">
        <v>118</v>
      </c>
      <c r="D29" s="62" t="s">
        <v>149</v>
      </c>
      <c r="E29" s="62" t="s">
        <v>149</v>
      </c>
      <c r="F29" s="62" t="s">
        <v>149</v>
      </c>
      <c r="G29" s="58" t="s">
        <v>119</v>
      </c>
    </row>
    <row r="30" spans="2:8" s="29" customFormat="1" ht="34.5" customHeight="1" x14ac:dyDescent="0.3">
      <c r="B30" s="29">
        <v>22</v>
      </c>
      <c r="C30" s="109" t="s">
        <v>122</v>
      </c>
      <c r="D30" s="62" t="s">
        <v>149</v>
      </c>
      <c r="E30" s="62" t="s">
        <v>149</v>
      </c>
      <c r="F30" s="62" t="s">
        <v>149</v>
      </c>
      <c r="G30" s="58" t="s">
        <v>123</v>
      </c>
    </row>
    <row r="31" spans="2:8" s="29" customFormat="1" ht="57.6" x14ac:dyDescent="0.3">
      <c r="B31" s="29">
        <v>23</v>
      </c>
      <c r="C31" s="109" t="s">
        <v>178</v>
      </c>
      <c r="D31" s="62" t="s">
        <v>149</v>
      </c>
      <c r="E31" s="62" t="s">
        <v>149</v>
      </c>
      <c r="F31" s="62" t="s">
        <v>149</v>
      </c>
      <c r="G31" s="58" t="s">
        <v>179</v>
      </c>
    </row>
    <row r="32" spans="2:8" s="29" customFormat="1" ht="86.4" x14ac:dyDescent="0.3">
      <c r="B32" s="29">
        <v>24</v>
      </c>
      <c r="C32" s="109" t="s">
        <v>126</v>
      </c>
      <c r="D32" s="62" t="s">
        <v>149</v>
      </c>
      <c r="E32" s="62" t="s">
        <v>149</v>
      </c>
      <c r="F32" s="62" t="s">
        <v>149</v>
      </c>
      <c r="G32" s="58" t="s">
        <v>127</v>
      </c>
    </row>
    <row r="33" spans="2:7" s="29" customFormat="1" ht="79.5" customHeight="1" x14ac:dyDescent="0.3">
      <c r="B33" s="29">
        <v>25</v>
      </c>
      <c r="C33" s="109" t="s">
        <v>180</v>
      </c>
      <c r="D33" s="62" t="s">
        <v>149</v>
      </c>
      <c r="E33" s="62" t="s">
        <v>149</v>
      </c>
      <c r="F33" s="62" t="s">
        <v>149</v>
      </c>
      <c r="G33" s="31" t="s">
        <v>181</v>
      </c>
    </row>
    <row r="34" spans="2:7" s="29" customFormat="1" ht="57.6" x14ac:dyDescent="0.3">
      <c r="B34" s="29">
        <v>26</v>
      </c>
      <c r="C34" s="109" t="s">
        <v>182</v>
      </c>
      <c r="D34" s="62" t="s">
        <v>149</v>
      </c>
      <c r="E34" s="62" t="s">
        <v>149</v>
      </c>
      <c r="F34" s="62" t="s">
        <v>149</v>
      </c>
      <c r="G34" s="31" t="s">
        <v>183</v>
      </c>
    </row>
    <row r="35" spans="2:7" s="29" customFormat="1" ht="28.8" x14ac:dyDescent="0.3">
      <c r="B35" s="29">
        <v>27</v>
      </c>
      <c r="C35" s="109" t="s">
        <v>184</v>
      </c>
      <c r="D35" s="62" t="s">
        <v>149</v>
      </c>
      <c r="E35" s="62" t="s">
        <v>149</v>
      </c>
      <c r="F35" s="62" t="s">
        <v>149</v>
      </c>
      <c r="G35" s="31" t="s">
        <v>185</v>
      </c>
    </row>
    <row r="36" spans="2:7" s="29" customFormat="1" ht="57.6" x14ac:dyDescent="0.3">
      <c r="B36" s="29">
        <v>28</v>
      </c>
      <c r="C36" s="109" t="s">
        <v>186</v>
      </c>
      <c r="D36" s="62" t="s">
        <v>149</v>
      </c>
      <c r="E36" s="62" t="s">
        <v>149</v>
      </c>
      <c r="F36" s="62" t="s">
        <v>149</v>
      </c>
      <c r="G36" s="61" t="s">
        <v>187</v>
      </c>
    </row>
    <row r="37" spans="2:7" s="29" customFormat="1" ht="28.8" x14ac:dyDescent="0.3">
      <c r="B37" s="29">
        <v>29</v>
      </c>
      <c r="C37" s="109" t="s">
        <v>188</v>
      </c>
      <c r="D37" s="62" t="s">
        <v>149</v>
      </c>
      <c r="E37" s="62" t="s">
        <v>149</v>
      </c>
      <c r="F37" s="62" t="s">
        <v>149</v>
      </c>
      <c r="G37" s="61" t="s">
        <v>189</v>
      </c>
    </row>
    <row r="38" spans="2:7" s="29" customFormat="1" ht="51.75" customHeight="1" x14ac:dyDescent="0.3">
      <c r="B38" s="29">
        <v>30</v>
      </c>
      <c r="C38" s="90" t="s">
        <v>130</v>
      </c>
      <c r="D38" s="62" t="s">
        <v>149</v>
      </c>
      <c r="E38" s="62" t="s">
        <v>149</v>
      </c>
      <c r="F38" s="62" t="s">
        <v>149</v>
      </c>
      <c r="G38" s="58" t="s">
        <v>131</v>
      </c>
    </row>
    <row r="39" spans="2:7" s="29" customFormat="1" ht="43.2" x14ac:dyDescent="0.3">
      <c r="B39" s="29">
        <v>31</v>
      </c>
      <c r="C39" s="109" t="s">
        <v>132</v>
      </c>
      <c r="D39" s="62" t="s">
        <v>149</v>
      </c>
      <c r="E39" s="62" t="s">
        <v>149</v>
      </c>
      <c r="F39" s="62" t="s">
        <v>149</v>
      </c>
      <c r="G39" s="58" t="s">
        <v>133</v>
      </c>
    </row>
    <row r="40" spans="2:7" s="29" customFormat="1" ht="73.5" customHeight="1" x14ac:dyDescent="0.3">
      <c r="B40" s="29">
        <v>32</v>
      </c>
      <c r="C40" s="109" t="s">
        <v>190</v>
      </c>
      <c r="D40" s="62" t="s">
        <v>149</v>
      </c>
      <c r="E40" s="62" t="s">
        <v>149</v>
      </c>
      <c r="F40" s="62" t="s">
        <v>149</v>
      </c>
      <c r="G40" s="61" t="s">
        <v>191</v>
      </c>
    </row>
    <row r="41" spans="2:7" s="29" customFormat="1" ht="98.25" customHeight="1" x14ac:dyDescent="0.3">
      <c r="B41" s="29">
        <v>33</v>
      </c>
      <c r="C41" s="109" t="s">
        <v>192</v>
      </c>
      <c r="D41" s="62" t="s">
        <v>149</v>
      </c>
      <c r="E41" s="62" t="s">
        <v>149</v>
      </c>
      <c r="F41" s="62" t="s">
        <v>149</v>
      </c>
      <c r="G41" s="61" t="s">
        <v>193</v>
      </c>
    </row>
    <row r="42" spans="2:7" s="29" customFormat="1" ht="98.25" customHeight="1" x14ac:dyDescent="0.3">
      <c r="B42" s="29">
        <v>34</v>
      </c>
      <c r="C42" s="109" t="s">
        <v>136</v>
      </c>
      <c r="D42" s="62" t="s">
        <v>149</v>
      </c>
      <c r="E42" s="62" t="s">
        <v>149</v>
      </c>
      <c r="F42" s="62" t="s">
        <v>149</v>
      </c>
      <c r="G42" s="58" t="s">
        <v>137</v>
      </c>
    </row>
    <row r="43" spans="2:7" s="29" customFormat="1" ht="57.6" x14ac:dyDescent="0.3">
      <c r="B43" s="29">
        <v>35</v>
      </c>
      <c r="C43" s="110" t="s">
        <v>134</v>
      </c>
      <c r="D43" s="62" t="s">
        <v>149</v>
      </c>
      <c r="E43" s="62" t="s">
        <v>149</v>
      </c>
      <c r="F43" s="62" t="s">
        <v>149</v>
      </c>
      <c r="G43" s="58" t="s">
        <v>135</v>
      </c>
    </row>
    <row r="44" spans="2:7" s="29" customFormat="1" ht="28.8" x14ac:dyDescent="0.3">
      <c r="B44" s="29">
        <v>36</v>
      </c>
      <c r="C44" s="109" t="s">
        <v>138</v>
      </c>
      <c r="D44" s="62" t="s">
        <v>149</v>
      </c>
      <c r="E44" s="62" t="s">
        <v>149</v>
      </c>
      <c r="F44" s="62" t="s">
        <v>149</v>
      </c>
      <c r="G44" s="58" t="s">
        <v>139</v>
      </c>
    </row>
    <row r="45" spans="2:7" s="29" customFormat="1" ht="52.5" customHeight="1" x14ac:dyDescent="0.3">
      <c r="B45" s="29">
        <v>37</v>
      </c>
      <c r="C45" s="109" t="s">
        <v>194</v>
      </c>
      <c r="D45" s="62" t="s">
        <v>149</v>
      </c>
      <c r="E45" s="62" t="s">
        <v>149</v>
      </c>
      <c r="F45" s="62" t="s">
        <v>149</v>
      </c>
      <c r="G45" s="61" t="s">
        <v>195</v>
      </c>
    </row>
    <row r="46" spans="2:7" s="29" customFormat="1" ht="28.8" x14ac:dyDescent="0.3">
      <c r="B46" s="29">
        <v>38</v>
      </c>
      <c r="C46" s="109" t="s">
        <v>196</v>
      </c>
      <c r="D46" s="62" t="s">
        <v>149</v>
      </c>
      <c r="E46" s="62" t="s">
        <v>149</v>
      </c>
      <c r="F46" s="62" t="s">
        <v>149</v>
      </c>
      <c r="G46" s="31" t="s">
        <v>197</v>
      </c>
    </row>
    <row r="47" spans="2:7" s="29" customFormat="1" ht="81" customHeight="1" x14ac:dyDescent="0.3">
      <c r="B47" s="29">
        <v>39</v>
      </c>
      <c r="C47" s="109" t="s">
        <v>198</v>
      </c>
      <c r="D47" s="62" t="s">
        <v>149</v>
      </c>
      <c r="E47" s="62" t="s">
        <v>149</v>
      </c>
      <c r="F47" s="62" t="s">
        <v>149</v>
      </c>
      <c r="G47" s="125" t="s">
        <v>199</v>
      </c>
    </row>
    <row r="48" spans="2:7" ht="28.8" x14ac:dyDescent="0.3">
      <c r="B48" s="169">
        <v>23</v>
      </c>
      <c r="C48" s="170" t="s">
        <v>142</v>
      </c>
      <c r="D48" s="171"/>
      <c r="E48" s="172"/>
      <c r="F48" s="172"/>
      <c r="G48" s="171" t="s">
        <v>143</v>
      </c>
    </row>
  </sheetData>
  <mergeCells count="1">
    <mergeCell ref="D3:F3"/>
  </mergeCells>
  <hyperlinks>
    <hyperlink ref="C38" r:id="rId1" location="1541722263760-bed533a1-d75d" display="https://portal.sat.gob.gt/portal/requisitos-de-vehiculos/ - 1541722263760-bed533a1-d75d" xr:uid="{449A2366-A34D-4891-AFA5-CFDB3D92EDEE}"/>
    <hyperlink ref="C45" r:id="rId2" location="1642106578727-c83d17c4-34da" display="https://portal.sat.gob.gt/portal/requisitos-de-vehiculos/ - 1642106578727-c83d17c4-34da" xr:uid="{2622B98E-8120-4541-B2CA-29BC895DC0B8}"/>
    <hyperlink ref="C41" r:id="rId3" location="1541722264271-487e21fd-d904" xr:uid="{DB0FA8C1-B9B1-46E1-8918-28F4FD0098A8}"/>
    <hyperlink ref="C39" r:id="rId4" location="1541722263997-e0d7cba3-7daf" display="https://portal.sat.gob.gt/portal/requisitos-de-vehiculos/ - 1541722263997-e0d7cba3-7daf" xr:uid="{CE7C51EC-17DE-4F06-9012-041C66D62AF5}"/>
    <hyperlink ref="C40" r:id="rId5" xr:uid="{88D51A3B-9906-4920-BE54-0F0A2220D73A}"/>
    <hyperlink ref="C35" r:id="rId6" location="1544737166940-7b221c49-789f" xr:uid="{9800BA86-16B2-4B16-BB5E-5413F3909165}"/>
    <hyperlink ref="C31" r:id="rId7" location="1541695409144-7032754f-f93a" xr:uid="{5660F19E-73F5-4F7D-BD4D-960EF4EA7C21}"/>
    <hyperlink ref="C30" r:id="rId8" xr:uid="{75192184-51B9-4105-B916-5175D8F64752}"/>
    <hyperlink ref="C20" r:id="rId9" xr:uid="{B785080D-F72D-4D8C-8BF5-BBE3409758BE}"/>
    <hyperlink ref="C24" r:id="rId10" xr:uid="{0B6035D3-3633-4B13-8B54-7C2D8AA197CC}"/>
    <hyperlink ref="C22" r:id="rId11" xr:uid="{82EAAE57-6F5A-4ACA-A9B3-BBA5729B9E55}"/>
    <hyperlink ref="C11" r:id="rId12" xr:uid="{201C9D7D-CBDA-4952-B815-C82F98157461}"/>
    <hyperlink ref="C29" r:id="rId13" xr:uid="{24BD055A-4C33-4E52-9D45-DFF0C93E86E1}"/>
    <hyperlink ref="C27" r:id="rId14" xr:uid="{9F4E11FD-50F6-46C0-BDB7-61109807B9E5}"/>
    <hyperlink ref="C10" r:id="rId15" xr:uid="{EC870D47-CC9F-424F-9947-5E59E99FC8A0}"/>
    <hyperlink ref="C28" r:id="rId16" xr:uid="{D279A8FD-547D-4297-AD20-092C7FE68D7A}"/>
    <hyperlink ref="C33" r:id="rId17" location="1541718919329-b32e6928-0a05" xr:uid="{834BC7BF-C1AA-49B8-B422-2486491D0BD1}"/>
    <hyperlink ref="C32" r:id="rId18" location="1615485066841-639e67c5-51e3" display="https://portal.sat.gob.gt/portal/requisitos-de-personas-empresas/ - 1615485066841-639e67c5-51e3" xr:uid="{5D65C5D2-C092-4F79-9248-97DA4FF2A701}"/>
    <hyperlink ref="C23" r:id="rId19" xr:uid="{25864814-3B80-418B-8C10-7E4B93F3D2C9}"/>
    <hyperlink ref="C25" r:id="rId20" xr:uid="{5639899F-ECE1-4457-93F9-AFF91ED42714}"/>
    <hyperlink ref="C47" r:id="rId21" xr:uid="{2F181DA7-0B38-4566-91D6-88B7046BFA84}"/>
    <hyperlink ref="C13" r:id="rId22" xr:uid="{3EEDAC48-30E7-438A-823E-915A49F212B5}"/>
    <hyperlink ref="C19" r:id="rId23" xr:uid="{D3703A53-F9E9-4536-AFA6-3EFDE33F72AE}"/>
    <hyperlink ref="C12" r:id="rId24" xr:uid="{BE185972-35E7-4BBF-9CD0-8C8710127044}"/>
    <hyperlink ref="C21" r:id="rId25" xr:uid="{83160435-4354-4BA4-AB5F-29A41385DD82}"/>
    <hyperlink ref="C34" r:id="rId26" location="1541721863086-9194f94d-dd70" xr:uid="{18ADC725-5CB1-41E7-A424-EAD5F493A637}"/>
    <hyperlink ref="C26" r:id="rId27" xr:uid="{BC47C078-8F94-43B9-95B2-AD5A78906942}"/>
    <hyperlink ref="C15" r:id="rId28" xr:uid="{14364B3F-03C8-4BDD-A10B-A07DB4D0D39B}"/>
    <hyperlink ref="C16" r:id="rId29" xr:uid="{E45D40BB-D8E0-4BA8-A44E-EEE41664E3C8}"/>
    <hyperlink ref="C46" r:id="rId30" xr:uid="{36EBA936-E9B4-4306-9325-7F7C25578A1D}"/>
    <hyperlink ref="C14" r:id="rId31" location="capacitacion" display="https://portal.sat.gob.gt/portal/ - capacitacion" xr:uid="{C507A77F-7C95-48E2-B301-C5FCC3A7D100}"/>
    <hyperlink ref="C42" r:id="rId32" location="1541776381173-61f2f55a-46dc" display="https://portal.sat.gob.gt/portal/requisitos-de-vehiculos/ - 1541776381173-61f2f55a-46dc" xr:uid="{9E56375E-E538-4B93-939A-B9C6C6A67C82}"/>
    <hyperlink ref="C44" r:id="rId33" location="1541777125986-97d04375-37ee" xr:uid="{DF4FB216-991A-4143-B78B-D6B55FEB062B}"/>
    <hyperlink ref="C17" r:id="rId34" xr:uid="{F0274C1C-0E2E-4721-B71D-490C597028EB}"/>
    <hyperlink ref="C18" r:id="rId35" xr:uid="{CA476497-C75A-4D96-B1DB-A45370AB16B6}"/>
    <hyperlink ref="C9" r:id="rId36" xr:uid="{81DB49B9-131F-4D10-B715-E8C00E2745B7}"/>
    <hyperlink ref="C43" r:id="rId37" location="1541722264551-ab829ede-22f8" xr:uid="{3767114D-DB69-4607-859D-03CF5BBD7C8C}"/>
    <hyperlink ref="C37" r:id="rId38" location="1606494573178-22f9effd-91cc" xr:uid="{09D69F25-AA80-41D8-AE65-7B36DD2E6D22}"/>
    <hyperlink ref="C36" r:id="rId39" location="1544742215300-58052f9f-10b1" xr:uid="{E38B8931-01B6-4B8D-AD09-AFE271311C80}"/>
    <hyperlink ref="C48" r:id="rId40" xr:uid="{3063B190-4811-4DD7-8982-7F3026AE5CAD}"/>
  </hyperlinks>
  <pageMargins left="0.7" right="0.7" top="0.75" bottom="0.75" header="0.3" footer="0.3"/>
  <tableParts count="1"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F964-72F4-4432-A082-21449DA10B04}">
  <dimension ref="B1:F47"/>
  <sheetViews>
    <sheetView zoomScaleNormal="100" workbookViewId="0">
      <pane ySplit="8" topLeftCell="A42" activePane="bottomLeft" state="frozen"/>
      <selection pane="bottomLeft" activeCell="B9" sqref="B9:F46"/>
    </sheetView>
  </sheetViews>
  <sheetFormatPr baseColWidth="10" defaultColWidth="9.109375" defaultRowHeight="14.4" x14ac:dyDescent="0.3"/>
  <cols>
    <col min="1" max="1" width="3" customWidth="1"/>
    <col min="2" max="2" width="6.109375" bestFit="1" customWidth="1"/>
    <col min="3" max="3" width="94.33203125" style="27" customWidth="1"/>
    <col min="4" max="4" width="19.44140625" style="27" bestFit="1" customWidth="1"/>
    <col min="5" max="5" width="15.5546875" style="27" customWidth="1"/>
    <col min="6" max="6" width="55.6640625" style="28" customWidth="1"/>
  </cols>
  <sheetData>
    <row r="1" spans="2:6" s="29" customFormat="1" ht="18" x14ac:dyDescent="0.3">
      <c r="B1" s="105"/>
      <c r="C1" s="105"/>
      <c r="D1" s="105"/>
      <c r="E1" s="105"/>
      <c r="F1" s="105"/>
    </row>
    <row r="2" spans="2:6" s="29" customFormat="1" x14ac:dyDescent="0.3">
      <c r="C2" s="49" t="s">
        <v>94</v>
      </c>
      <c r="D2" s="48" t="s">
        <v>16</v>
      </c>
      <c r="E2" s="92" t="s">
        <v>17</v>
      </c>
    </row>
    <row r="3" spans="2:6" s="29" customFormat="1" x14ac:dyDescent="0.3">
      <c r="C3" s="90" t="s">
        <v>200</v>
      </c>
      <c r="D3" s="153">
        <f>+C7</f>
        <v>37</v>
      </c>
      <c r="E3" s="153"/>
    </row>
    <row r="4" spans="2:6" s="29" customFormat="1" x14ac:dyDescent="0.3">
      <c r="C4" s="90" t="s">
        <v>201</v>
      </c>
      <c r="D4" s="70">
        <f>COUNTIF(D9:D44,"*")</f>
        <v>36</v>
      </c>
      <c r="E4" s="70">
        <f>COUNTIF(E9:E44,"*")</f>
        <v>36</v>
      </c>
    </row>
    <row r="5" spans="2:6" s="29" customFormat="1" x14ac:dyDescent="0.3">
      <c r="C5" s="90" t="s">
        <v>202</v>
      </c>
      <c r="D5" s="70">
        <f>COUNTIF(D46:D46,"*")</f>
        <v>1</v>
      </c>
      <c r="E5" s="70"/>
    </row>
    <row r="6" spans="2:6" s="29" customFormat="1" x14ac:dyDescent="0.3"/>
    <row r="7" spans="2:6" s="29" customFormat="1" x14ac:dyDescent="0.3">
      <c r="C7" s="3">
        <f>COUNTIF(C9:C46,"*")</f>
        <v>37</v>
      </c>
      <c r="D7" s="3">
        <f>COUNTIF(D9:D46,"*")</f>
        <v>37</v>
      </c>
      <c r="E7" s="3">
        <f>COUNTIF(E9:E46,"*")</f>
        <v>36</v>
      </c>
      <c r="F7" s="3"/>
    </row>
    <row r="8" spans="2:6" s="29" customFormat="1" ht="27.6" x14ac:dyDescent="0.3">
      <c r="B8" s="33" t="s">
        <v>0</v>
      </c>
      <c r="C8" s="34" t="s">
        <v>96</v>
      </c>
      <c r="D8" s="63" t="s">
        <v>16</v>
      </c>
      <c r="E8" s="34" t="s">
        <v>17</v>
      </c>
      <c r="F8" s="35" t="s">
        <v>97</v>
      </c>
    </row>
    <row r="9" spans="2:6" s="29" customFormat="1" ht="72" x14ac:dyDescent="0.3">
      <c r="B9" s="29">
        <v>1</v>
      </c>
      <c r="C9" s="74" t="s">
        <v>102</v>
      </c>
      <c r="D9" s="3" t="s">
        <v>149</v>
      </c>
      <c r="E9" s="3" t="s">
        <v>149</v>
      </c>
      <c r="F9" s="58" t="s">
        <v>151</v>
      </c>
    </row>
    <row r="10" spans="2:6" s="29" customFormat="1" ht="43.2" x14ac:dyDescent="0.3">
      <c r="B10" s="29">
        <v>2</v>
      </c>
      <c r="C10" s="82" t="s">
        <v>156</v>
      </c>
      <c r="D10" s="29" t="s">
        <v>149</v>
      </c>
      <c r="E10" s="29" t="s">
        <v>149</v>
      </c>
      <c r="F10" s="32" t="s">
        <v>203</v>
      </c>
    </row>
    <row r="11" spans="2:6" s="29" customFormat="1" ht="43.2" x14ac:dyDescent="0.3">
      <c r="B11" s="29">
        <v>3</v>
      </c>
      <c r="C11" s="82" t="s">
        <v>104</v>
      </c>
      <c r="D11" s="29" t="s">
        <v>149</v>
      </c>
      <c r="E11" s="29" t="s">
        <v>149</v>
      </c>
      <c r="F11" s="58" t="s">
        <v>204</v>
      </c>
    </row>
    <row r="12" spans="2:6" s="29" customFormat="1" ht="43.2" x14ac:dyDescent="0.3">
      <c r="B12" s="29">
        <v>4</v>
      </c>
      <c r="C12" s="82" t="s">
        <v>159</v>
      </c>
      <c r="D12" s="29" t="s">
        <v>149</v>
      </c>
      <c r="E12" s="29" t="s">
        <v>149</v>
      </c>
      <c r="F12" s="32" t="s">
        <v>205</v>
      </c>
    </row>
    <row r="13" spans="2:6" s="29" customFormat="1" ht="28.8" x14ac:dyDescent="0.3">
      <c r="B13" s="29">
        <v>5</v>
      </c>
      <c r="C13" s="82" t="s">
        <v>106</v>
      </c>
      <c r="D13" s="29" t="s">
        <v>149</v>
      </c>
      <c r="E13" s="29" t="s">
        <v>149</v>
      </c>
      <c r="F13" s="58" t="s">
        <v>206</v>
      </c>
    </row>
    <row r="14" spans="2:6" s="29" customFormat="1" ht="43.2" x14ac:dyDescent="0.3">
      <c r="B14" s="29">
        <v>6</v>
      </c>
      <c r="C14" s="82" t="s">
        <v>161</v>
      </c>
      <c r="D14" s="29" t="s">
        <v>149</v>
      </c>
      <c r="E14" s="29" t="s">
        <v>149</v>
      </c>
      <c r="F14" s="32" t="s">
        <v>207</v>
      </c>
    </row>
    <row r="15" spans="2:6" s="29" customFormat="1" ht="43.2" x14ac:dyDescent="0.3">
      <c r="B15" s="29">
        <v>7</v>
      </c>
      <c r="C15" s="82" t="s">
        <v>165</v>
      </c>
      <c r="D15" s="29" t="s">
        <v>149</v>
      </c>
      <c r="E15" s="29" t="s">
        <v>149</v>
      </c>
      <c r="F15" s="58" t="s">
        <v>166</v>
      </c>
    </row>
    <row r="16" spans="2:6" s="29" customFormat="1" ht="75.75" customHeight="1" x14ac:dyDescent="0.3">
      <c r="B16" s="29">
        <v>8</v>
      </c>
      <c r="C16" s="82" t="s">
        <v>208</v>
      </c>
      <c r="D16" s="29" t="s">
        <v>149</v>
      </c>
      <c r="E16" s="29" t="s">
        <v>149</v>
      </c>
      <c r="F16" s="32" t="s">
        <v>209</v>
      </c>
    </row>
    <row r="17" spans="2:6" s="29" customFormat="1" ht="43.2" x14ac:dyDescent="0.3">
      <c r="B17" s="29">
        <v>9</v>
      </c>
      <c r="C17" s="76" t="s">
        <v>210</v>
      </c>
      <c r="D17" s="29" t="s">
        <v>149</v>
      </c>
      <c r="E17" s="29" t="s">
        <v>149</v>
      </c>
      <c r="F17" s="32" t="s">
        <v>211</v>
      </c>
    </row>
    <row r="18" spans="2:6" s="29" customFormat="1" ht="66.75" customHeight="1" x14ac:dyDescent="0.3">
      <c r="B18" s="29">
        <v>10</v>
      </c>
      <c r="C18" s="82" t="s">
        <v>100</v>
      </c>
      <c r="D18" s="29" t="s">
        <v>149</v>
      </c>
      <c r="E18" s="29" t="s">
        <v>149</v>
      </c>
      <c r="F18" s="58" t="s">
        <v>101</v>
      </c>
    </row>
    <row r="19" spans="2:6" s="29" customFormat="1" ht="57.6" x14ac:dyDescent="0.3">
      <c r="B19" s="29">
        <v>11</v>
      </c>
      <c r="C19" s="82" t="s">
        <v>110</v>
      </c>
      <c r="D19" s="29" t="s">
        <v>149</v>
      </c>
      <c r="E19" s="29" t="s">
        <v>149</v>
      </c>
      <c r="F19" s="58" t="s">
        <v>111</v>
      </c>
    </row>
    <row r="20" spans="2:6" s="29" customFormat="1" ht="43.2" x14ac:dyDescent="0.3">
      <c r="B20" s="29">
        <v>12</v>
      </c>
      <c r="C20" s="3" t="s">
        <v>167</v>
      </c>
      <c r="D20" s="29" t="s">
        <v>149</v>
      </c>
      <c r="E20" s="29" t="s">
        <v>149</v>
      </c>
      <c r="F20" s="58" t="s">
        <v>168</v>
      </c>
    </row>
    <row r="21" spans="2:6" s="29" customFormat="1" ht="28.8" x14ac:dyDescent="0.3">
      <c r="B21" s="29">
        <v>13</v>
      </c>
      <c r="C21" s="82" t="s">
        <v>212</v>
      </c>
      <c r="D21" s="29" t="s">
        <v>149</v>
      </c>
      <c r="E21" s="29" t="s">
        <v>149</v>
      </c>
      <c r="F21" s="32" t="s">
        <v>213</v>
      </c>
    </row>
    <row r="22" spans="2:6" s="29" customFormat="1" ht="28.8" x14ac:dyDescent="0.3">
      <c r="B22" s="29">
        <v>14</v>
      </c>
      <c r="C22" s="3" t="s">
        <v>214</v>
      </c>
      <c r="D22" s="29" t="s">
        <v>149</v>
      </c>
      <c r="E22" s="29" t="s">
        <v>149</v>
      </c>
      <c r="F22" s="32" t="s">
        <v>215</v>
      </c>
    </row>
    <row r="23" spans="2:6" s="29" customFormat="1" ht="43.2" x14ac:dyDescent="0.3">
      <c r="B23" s="29">
        <v>15</v>
      </c>
      <c r="C23" s="3" t="s">
        <v>171</v>
      </c>
      <c r="D23" s="29" t="s">
        <v>149</v>
      </c>
      <c r="E23" s="29" t="s">
        <v>149</v>
      </c>
      <c r="F23" s="32" t="s">
        <v>216</v>
      </c>
    </row>
    <row r="24" spans="2:6" s="29" customFormat="1" ht="43.2" x14ac:dyDescent="0.3">
      <c r="B24" s="29">
        <v>16</v>
      </c>
      <c r="C24" s="82" t="s">
        <v>112</v>
      </c>
      <c r="D24" s="29" t="s">
        <v>149</v>
      </c>
      <c r="E24" s="29" t="s">
        <v>149</v>
      </c>
      <c r="F24" s="32" t="s">
        <v>217</v>
      </c>
    </row>
    <row r="25" spans="2:6" s="29" customFormat="1" ht="43.2" x14ac:dyDescent="0.3">
      <c r="B25" s="29">
        <v>17</v>
      </c>
      <c r="C25" s="3" t="s">
        <v>173</v>
      </c>
      <c r="D25" s="29" t="s">
        <v>149</v>
      </c>
      <c r="E25" s="29" t="s">
        <v>149</v>
      </c>
      <c r="F25" s="32" t="s">
        <v>218</v>
      </c>
    </row>
    <row r="26" spans="2:6" s="29" customFormat="1" ht="57.6" x14ac:dyDescent="0.3">
      <c r="B26" s="29">
        <v>18</v>
      </c>
      <c r="C26" s="82" t="s">
        <v>114</v>
      </c>
      <c r="D26" s="29" t="s">
        <v>149</v>
      </c>
      <c r="E26" s="29" t="s">
        <v>149</v>
      </c>
      <c r="F26" s="32" t="s">
        <v>219</v>
      </c>
    </row>
    <row r="27" spans="2:6" s="29" customFormat="1" ht="28.8" x14ac:dyDescent="0.3">
      <c r="B27" s="29">
        <v>19</v>
      </c>
      <c r="C27" s="82" t="s">
        <v>116</v>
      </c>
      <c r="D27" s="29" t="s">
        <v>149</v>
      </c>
      <c r="E27" s="29" t="s">
        <v>149</v>
      </c>
      <c r="F27" s="58" t="s">
        <v>117</v>
      </c>
    </row>
    <row r="28" spans="2:6" s="29" customFormat="1" ht="77.25" customHeight="1" x14ac:dyDescent="0.3">
      <c r="B28" s="29">
        <v>20</v>
      </c>
      <c r="C28" s="82" t="s">
        <v>118</v>
      </c>
      <c r="D28" s="29" t="s">
        <v>149</v>
      </c>
      <c r="E28" s="29" t="s">
        <v>149</v>
      </c>
      <c r="F28" s="58" t="s">
        <v>119</v>
      </c>
    </row>
    <row r="29" spans="2:6" s="29" customFormat="1" ht="57.6" x14ac:dyDescent="0.3">
      <c r="B29" s="29">
        <v>21</v>
      </c>
      <c r="C29" s="76" t="s">
        <v>220</v>
      </c>
      <c r="D29" s="29" t="s">
        <v>149</v>
      </c>
      <c r="E29" s="29" t="s">
        <v>149</v>
      </c>
      <c r="F29" s="32" t="s">
        <v>221</v>
      </c>
    </row>
    <row r="30" spans="2:6" s="29" customFormat="1" ht="57.6" x14ac:dyDescent="0.3">
      <c r="B30" s="29">
        <v>22</v>
      </c>
      <c r="C30" s="3" t="s">
        <v>178</v>
      </c>
      <c r="D30" s="29" t="s">
        <v>149</v>
      </c>
      <c r="E30" s="29" t="s">
        <v>149</v>
      </c>
      <c r="F30" s="58" t="s">
        <v>179</v>
      </c>
    </row>
    <row r="31" spans="2:6" s="29" customFormat="1" ht="28.8" x14ac:dyDescent="0.3">
      <c r="B31" s="29">
        <v>23</v>
      </c>
      <c r="C31" s="82" t="s">
        <v>188</v>
      </c>
      <c r="D31" s="29" t="s">
        <v>149</v>
      </c>
      <c r="E31" s="29" t="s">
        <v>149</v>
      </c>
      <c r="F31" s="61" t="s">
        <v>189</v>
      </c>
    </row>
    <row r="32" spans="2:6" s="29" customFormat="1" ht="57.6" x14ac:dyDescent="0.3">
      <c r="B32" s="29">
        <v>24</v>
      </c>
      <c r="C32" s="82" t="s">
        <v>186</v>
      </c>
      <c r="D32" s="29" t="s">
        <v>149</v>
      </c>
      <c r="E32" s="29" t="s">
        <v>149</v>
      </c>
      <c r="F32" s="61" t="s">
        <v>187</v>
      </c>
    </row>
    <row r="33" spans="2:6" s="29" customFormat="1" ht="28.8" x14ac:dyDescent="0.3">
      <c r="B33" s="29">
        <v>25</v>
      </c>
      <c r="C33" s="98" t="s">
        <v>184</v>
      </c>
      <c r="D33" s="29" t="s">
        <v>149</v>
      </c>
      <c r="E33" s="29" t="s">
        <v>149</v>
      </c>
      <c r="F33" s="31" t="s">
        <v>185</v>
      </c>
    </row>
    <row r="34" spans="2:6" s="29" customFormat="1" ht="37.5" customHeight="1" x14ac:dyDescent="0.3">
      <c r="B34" s="29">
        <v>26</v>
      </c>
      <c r="C34" s="3" t="s">
        <v>122</v>
      </c>
      <c r="D34" s="29" t="s">
        <v>149</v>
      </c>
      <c r="E34" s="29" t="s">
        <v>149</v>
      </c>
      <c r="F34" s="58" t="s">
        <v>123</v>
      </c>
    </row>
    <row r="35" spans="2:6" s="29" customFormat="1" ht="74.25" customHeight="1" x14ac:dyDescent="0.3">
      <c r="B35" s="29">
        <v>27</v>
      </c>
      <c r="C35" s="82" t="s">
        <v>180</v>
      </c>
      <c r="D35" s="106" t="s">
        <v>149</v>
      </c>
      <c r="E35" s="106" t="s">
        <v>149</v>
      </c>
      <c r="F35" s="31" t="s">
        <v>181</v>
      </c>
    </row>
    <row r="36" spans="2:6" s="29" customFormat="1" ht="57.6" x14ac:dyDescent="0.3">
      <c r="B36" s="29">
        <v>28</v>
      </c>
      <c r="C36" s="3" t="s">
        <v>182</v>
      </c>
      <c r="D36" s="106" t="s">
        <v>149</v>
      </c>
      <c r="E36" s="106" t="s">
        <v>149</v>
      </c>
      <c r="F36" s="31" t="s">
        <v>183</v>
      </c>
    </row>
    <row r="37" spans="2:6" s="29" customFormat="1" ht="28.8" x14ac:dyDescent="0.3">
      <c r="B37" s="29">
        <v>29</v>
      </c>
      <c r="C37" s="3" t="s">
        <v>138</v>
      </c>
      <c r="D37" s="29" t="s">
        <v>149</v>
      </c>
      <c r="E37" s="29" t="s">
        <v>149</v>
      </c>
      <c r="F37" s="58" t="s">
        <v>139</v>
      </c>
    </row>
    <row r="38" spans="2:6" s="29" customFormat="1" ht="28.8" x14ac:dyDescent="0.3">
      <c r="B38" s="29">
        <v>30</v>
      </c>
      <c r="C38" s="82" t="s">
        <v>140</v>
      </c>
      <c r="D38" s="29" t="s">
        <v>149</v>
      </c>
      <c r="E38" s="29" t="s">
        <v>149</v>
      </c>
      <c r="F38" s="58" t="s">
        <v>141</v>
      </c>
    </row>
    <row r="39" spans="2:6" s="29" customFormat="1" ht="64.5" customHeight="1" x14ac:dyDescent="0.3">
      <c r="B39" s="29">
        <v>31</v>
      </c>
      <c r="C39" s="82" t="s">
        <v>130</v>
      </c>
      <c r="D39" s="29" t="s">
        <v>149</v>
      </c>
      <c r="E39" s="29" t="s">
        <v>149</v>
      </c>
      <c r="F39" s="58" t="s">
        <v>131</v>
      </c>
    </row>
    <row r="40" spans="2:6" s="29" customFormat="1" ht="86.4" x14ac:dyDescent="0.3">
      <c r="B40" s="29">
        <v>32</v>
      </c>
      <c r="C40" s="3" t="s">
        <v>192</v>
      </c>
      <c r="D40" s="29" t="s">
        <v>149</v>
      </c>
      <c r="E40" s="29" t="s">
        <v>149</v>
      </c>
      <c r="F40" s="61" t="s">
        <v>193</v>
      </c>
    </row>
    <row r="41" spans="2:6" s="29" customFormat="1" ht="57.6" x14ac:dyDescent="0.3">
      <c r="B41" s="29">
        <v>33</v>
      </c>
      <c r="C41" s="3" t="s">
        <v>136</v>
      </c>
      <c r="D41" s="29" t="s">
        <v>149</v>
      </c>
      <c r="E41" s="29" t="s">
        <v>149</v>
      </c>
      <c r="F41" s="58" t="s">
        <v>137</v>
      </c>
    </row>
    <row r="42" spans="2:6" s="29" customFormat="1" ht="57.6" x14ac:dyDescent="0.3">
      <c r="B42" s="29">
        <v>34</v>
      </c>
      <c r="C42" s="3" t="s">
        <v>134</v>
      </c>
      <c r="D42" s="29" t="s">
        <v>149</v>
      </c>
      <c r="E42" s="29" t="s">
        <v>149</v>
      </c>
      <c r="F42" s="58" t="s">
        <v>135</v>
      </c>
    </row>
    <row r="43" spans="2:6" s="29" customFormat="1" ht="43.2" x14ac:dyDescent="0.3">
      <c r="B43" s="29">
        <v>35</v>
      </c>
      <c r="C43" s="82" t="s">
        <v>194</v>
      </c>
      <c r="D43" s="29" t="s">
        <v>149</v>
      </c>
      <c r="E43" s="29" t="s">
        <v>149</v>
      </c>
      <c r="F43" s="61" t="s">
        <v>195</v>
      </c>
    </row>
    <row r="44" spans="2:6" s="29" customFormat="1" ht="43.2" x14ac:dyDescent="0.3">
      <c r="B44" s="29">
        <v>36</v>
      </c>
      <c r="C44" s="3" t="s">
        <v>132</v>
      </c>
      <c r="D44" s="106" t="s">
        <v>149</v>
      </c>
      <c r="E44" s="106" t="s">
        <v>149</v>
      </c>
      <c r="F44" s="58" t="s">
        <v>133</v>
      </c>
    </row>
    <row r="45" spans="2:6" s="29" customFormat="1" x14ac:dyDescent="0.3">
      <c r="B45" s="39"/>
      <c r="C45" s="39"/>
      <c r="D45" s="39"/>
      <c r="E45" s="39"/>
      <c r="F45" s="39"/>
    </row>
    <row r="46" spans="2:6" s="29" customFormat="1" ht="57.6" x14ac:dyDescent="0.3">
      <c r="B46" s="29">
        <v>1</v>
      </c>
      <c r="C46" s="82" t="s">
        <v>222</v>
      </c>
      <c r="D46" s="53" t="s">
        <v>149</v>
      </c>
      <c r="E46" s="53"/>
      <c r="F46" s="32" t="s">
        <v>223</v>
      </c>
    </row>
    <row r="47" spans="2:6" s="29" customFormat="1" x14ac:dyDescent="0.3">
      <c r="C47" s="3"/>
      <c r="D47" s="3"/>
      <c r="E47" s="3"/>
      <c r="F47" s="3"/>
    </row>
  </sheetData>
  <mergeCells count="1">
    <mergeCell ref="D3:E3"/>
  </mergeCells>
  <hyperlinks>
    <hyperlink ref="C15" r:id="rId1" xr:uid="{0262F11C-867A-4D35-ABEA-A3ED578A6E40}"/>
    <hyperlink ref="C11" r:id="rId2" location="capacitacion" xr:uid="{6CAA26C4-0E6E-450E-8A6E-E9FC7DEB803D}"/>
    <hyperlink ref="C19" r:id="rId3" xr:uid="{2284A0AC-9D64-4AFF-A60F-4F910BC090FF}"/>
    <hyperlink ref="C10" r:id="rId4" xr:uid="{2457DBAD-BF2E-4155-AF88-7E49A7A35196}"/>
    <hyperlink ref="C27" r:id="rId5" xr:uid="{CC2A2FDB-5431-4F01-9575-38CE9A5F4D4F}"/>
    <hyperlink ref="C18" r:id="rId6" xr:uid="{F219DEC3-120B-4A5D-9B76-D0D5F15CB84C}"/>
    <hyperlink ref="C13" r:id="rId7" xr:uid="{E845321B-AFB9-4F60-A23A-123624113086}"/>
    <hyperlink ref="C12" r:id="rId8" xr:uid="{B079C817-963E-461B-A654-2860624AB135}"/>
    <hyperlink ref="C14" r:id="rId9" xr:uid="{F574BCD4-084F-46F6-B7A7-330744531309}"/>
    <hyperlink ref="C21" r:id="rId10" xr:uid="{260D6B87-8B20-4DCF-A1ED-69285A0261EE}"/>
    <hyperlink ref="C16" r:id="rId11" xr:uid="{0EE867BE-76E5-41BC-8D30-FE5D78192B7A}"/>
    <hyperlink ref="C24" r:id="rId12" xr:uid="{28D92564-A822-4EBA-BE44-6E013C9EF7D8}"/>
    <hyperlink ref="C28" r:id="rId13" xr:uid="{FAB802F0-C7CD-4C31-B0DE-F3F46E5CFCE9}"/>
    <hyperlink ref="C26" r:id="rId14" xr:uid="{8563FAE7-F672-45EE-85FF-F367ABF40D1A}"/>
    <hyperlink ref="C33" r:id="rId15" location="1544737166940-7b221c49-789f" xr:uid="{93359210-D21A-4CA9-9DC5-7B1CA752175A}"/>
    <hyperlink ref="C31" r:id="rId16" location="1606494573178-22f9effd-91cc" xr:uid="{23600CAE-8385-4B1A-9D91-B4ACECB56125}"/>
    <hyperlink ref="C39" r:id="rId17" location="1541722263760-bed533a1-d75d" xr:uid="{3D985E23-D6C7-4FFC-8BE1-32D10D9C7F10}"/>
    <hyperlink ref="C43" r:id="rId18" location="1642106578727-c83d17c4-34da" xr:uid="{19F0E0F7-CC94-4CE4-8BA4-CF37C7D0C41A}"/>
    <hyperlink ref="C35" r:id="rId19" location="1541718919329-b32e6928-0a05" xr:uid="{3A58BF97-321A-4563-B609-0E8A875FDC73}"/>
    <hyperlink ref="C32" r:id="rId20" location="1544742215300-58052f9f-10b1" xr:uid="{B80A8ABF-A3CD-49B9-A5C7-61A1CC1B6D08}"/>
    <hyperlink ref="C46" r:id="rId21" location="1573597244944-61668ad5-acf7" xr:uid="{EA4E7AA5-8F68-437C-80BF-D1C6A32B61BA}"/>
    <hyperlink ref="C38" r:id="rId22" location="1662393570133-d90819b2-32d3" xr:uid="{962364C0-675A-4D49-B5D2-8CECF5FAD6B5}"/>
    <hyperlink ref="C9" r:id="rId23" xr:uid="{AA367758-B48D-4BF7-8612-185BE840AB9C}"/>
    <hyperlink ref="C17" r:id="rId24" xr:uid="{7D660064-EC4C-4579-B045-80B29F5D401F}"/>
    <hyperlink ref="C29" r:id="rId25" location="1541715112091-e300506b-54b6" xr:uid="{3BF64940-D7ED-460E-B179-203B7245B182}"/>
  </hyperlinks>
  <pageMargins left="0.75" right="0.75" top="1" bottom="1" header="0.5" footer="0.5"/>
  <tableParts count="1">
    <tablePart r:id="rId2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54"/>
  <sheetViews>
    <sheetView zoomScaleNormal="100" workbookViewId="0">
      <pane ySplit="7" topLeftCell="A33" activePane="bottomLeft" state="frozen"/>
      <selection pane="bottomLeft" activeCell="B8" sqref="B8:F39"/>
    </sheetView>
  </sheetViews>
  <sheetFormatPr baseColWidth="10" defaultColWidth="8.88671875" defaultRowHeight="15" customHeight="1" x14ac:dyDescent="0.3"/>
  <cols>
    <col min="1" max="1" width="2.6640625" style="27" customWidth="1"/>
    <col min="2" max="2" width="6.109375" style="27" bestFit="1" customWidth="1"/>
    <col min="3" max="3" width="95" style="27" customWidth="1"/>
    <col min="4" max="5" width="15.109375" style="28" customWidth="1"/>
    <col min="6" max="6" width="55.6640625" style="27" customWidth="1"/>
    <col min="7" max="16384" width="8.88671875" style="27"/>
  </cols>
  <sheetData>
    <row r="1" spans="2:6" s="3" customFormat="1" ht="14.4" x14ac:dyDescent="0.3"/>
    <row r="2" spans="2:6" s="3" customFormat="1" ht="14.4" x14ac:dyDescent="0.3">
      <c r="C2" s="49" t="s">
        <v>94</v>
      </c>
      <c r="D2" s="49" t="s">
        <v>19</v>
      </c>
      <c r="E2" s="49" t="s">
        <v>20</v>
      </c>
    </row>
    <row r="3" spans="2:6" s="3" customFormat="1" ht="14.4" x14ac:dyDescent="0.3">
      <c r="C3" s="90" t="s">
        <v>200</v>
      </c>
      <c r="D3" s="154">
        <f>+C6</f>
        <v>32</v>
      </c>
      <c r="E3" s="154"/>
    </row>
    <row r="4" spans="2:6" s="3" customFormat="1" ht="14.4" x14ac:dyDescent="0.3">
      <c r="C4" s="90" t="s">
        <v>201</v>
      </c>
      <c r="D4" s="85">
        <f>+D6</f>
        <v>32</v>
      </c>
      <c r="E4" s="85">
        <f>+E6</f>
        <v>32</v>
      </c>
    </row>
    <row r="5" spans="2:6" s="3" customFormat="1" ht="14.4" x14ac:dyDescent="0.3"/>
    <row r="6" spans="2:6" s="3" customFormat="1" ht="14.4" x14ac:dyDescent="0.3">
      <c r="C6" s="3">
        <f>COUNTIF(C8:C39,"*")</f>
        <v>32</v>
      </c>
      <c r="D6" s="3">
        <f>COUNTIF(D8:D39,"*")</f>
        <v>32</v>
      </c>
      <c r="E6" s="3">
        <f>COUNTIF(E8:E39,"*")</f>
        <v>32</v>
      </c>
    </row>
    <row r="7" spans="2:6" s="3" customFormat="1" ht="14.4" x14ac:dyDescent="0.3">
      <c r="B7" s="69" t="s">
        <v>0</v>
      </c>
      <c r="C7" s="69" t="s">
        <v>96</v>
      </c>
      <c r="D7" s="69" t="s">
        <v>19</v>
      </c>
      <c r="E7" s="69" t="s">
        <v>20</v>
      </c>
      <c r="F7" s="69" t="s">
        <v>97</v>
      </c>
    </row>
    <row r="8" spans="2:6" s="3" customFormat="1" ht="43.2" x14ac:dyDescent="0.3">
      <c r="B8" s="3">
        <v>1</v>
      </c>
      <c r="C8" s="76" t="s">
        <v>98</v>
      </c>
      <c r="D8" s="3" t="s">
        <v>149</v>
      </c>
      <c r="E8" s="3" t="s">
        <v>149</v>
      </c>
      <c r="F8" s="58" t="s">
        <v>150</v>
      </c>
    </row>
    <row r="9" spans="2:6" s="3" customFormat="1" ht="72" x14ac:dyDescent="0.3">
      <c r="B9" s="3">
        <v>2</v>
      </c>
      <c r="C9" s="101" t="s">
        <v>102</v>
      </c>
      <c r="D9" s="3" t="s">
        <v>149</v>
      </c>
      <c r="E9" s="3" t="s">
        <v>149</v>
      </c>
      <c r="F9" s="58" t="s">
        <v>151</v>
      </c>
    </row>
    <row r="10" spans="2:6" s="3" customFormat="1" ht="77.25" customHeight="1" x14ac:dyDescent="0.3">
      <c r="B10" s="40">
        <v>3</v>
      </c>
      <c r="C10" s="75" t="s">
        <v>152</v>
      </c>
      <c r="D10" s="77" t="s">
        <v>149</v>
      </c>
      <c r="E10" s="77" t="s">
        <v>149</v>
      </c>
      <c r="F10" s="128" t="s">
        <v>153</v>
      </c>
    </row>
    <row r="11" spans="2:6" s="3" customFormat="1" ht="43.2" x14ac:dyDescent="0.3">
      <c r="B11" s="3">
        <v>4</v>
      </c>
      <c r="C11" s="74" t="s">
        <v>224</v>
      </c>
      <c r="D11" s="3" t="s">
        <v>149</v>
      </c>
      <c r="E11" s="3" t="s">
        <v>149</v>
      </c>
      <c r="F11" s="32" t="s">
        <v>225</v>
      </c>
    </row>
    <row r="12" spans="2:6" s="3" customFormat="1" ht="43.2" x14ac:dyDescent="0.3">
      <c r="B12" s="3">
        <v>5</v>
      </c>
      <c r="C12" s="76" t="s">
        <v>156</v>
      </c>
      <c r="D12" s="3" t="s">
        <v>149</v>
      </c>
      <c r="E12" s="3" t="s">
        <v>149</v>
      </c>
      <c r="F12" s="32" t="s">
        <v>226</v>
      </c>
    </row>
    <row r="13" spans="2:6" s="3" customFormat="1" ht="43.2" x14ac:dyDescent="0.3">
      <c r="B13" s="40">
        <v>6</v>
      </c>
      <c r="C13" s="76" t="s">
        <v>104</v>
      </c>
      <c r="D13" s="3" t="s">
        <v>149</v>
      </c>
      <c r="E13" s="3" t="s">
        <v>149</v>
      </c>
      <c r="F13" s="58" t="s">
        <v>227</v>
      </c>
    </row>
    <row r="14" spans="2:6" s="3" customFormat="1" ht="43.2" x14ac:dyDescent="0.3">
      <c r="B14" s="3">
        <v>7</v>
      </c>
      <c r="C14" s="76" t="s">
        <v>161</v>
      </c>
      <c r="D14" s="3" t="s">
        <v>149</v>
      </c>
      <c r="E14" s="3" t="s">
        <v>149</v>
      </c>
      <c r="F14" s="32" t="s">
        <v>207</v>
      </c>
    </row>
    <row r="15" spans="2:6" s="3" customFormat="1" ht="57.6" x14ac:dyDescent="0.3">
      <c r="B15" s="3">
        <v>8</v>
      </c>
      <c r="C15" s="74" t="s">
        <v>110</v>
      </c>
      <c r="D15" s="3" t="s">
        <v>149</v>
      </c>
      <c r="E15" s="3" t="s">
        <v>149</v>
      </c>
      <c r="F15" s="58" t="s">
        <v>111</v>
      </c>
    </row>
    <row r="16" spans="2:6" s="3" customFormat="1" ht="48.75" customHeight="1" x14ac:dyDescent="0.3">
      <c r="B16" s="40">
        <v>9</v>
      </c>
      <c r="C16" s="74" t="s">
        <v>212</v>
      </c>
      <c r="D16" s="3" t="s">
        <v>149</v>
      </c>
      <c r="E16" s="3" t="s">
        <v>149</v>
      </c>
      <c r="F16" s="129" t="s">
        <v>228</v>
      </c>
    </row>
    <row r="17" spans="2:6" s="3" customFormat="1" ht="47.25" customHeight="1" x14ac:dyDescent="0.3">
      <c r="B17" s="3">
        <v>10</v>
      </c>
      <c r="C17" s="74" t="s">
        <v>214</v>
      </c>
      <c r="D17" s="3" t="s">
        <v>149</v>
      </c>
      <c r="E17" s="3" t="s">
        <v>149</v>
      </c>
      <c r="F17" s="129" t="s">
        <v>229</v>
      </c>
    </row>
    <row r="18" spans="2:6" s="3" customFormat="1" ht="69" customHeight="1" x14ac:dyDescent="0.3">
      <c r="B18" s="3">
        <v>11</v>
      </c>
      <c r="C18" s="76" t="s">
        <v>230</v>
      </c>
      <c r="D18" s="3" t="s">
        <v>149</v>
      </c>
      <c r="E18" s="3" t="s">
        <v>149</v>
      </c>
      <c r="F18" s="128" t="s">
        <v>231</v>
      </c>
    </row>
    <row r="19" spans="2:6" s="3" customFormat="1" ht="69" customHeight="1" x14ac:dyDescent="0.3">
      <c r="B19" s="40">
        <v>12</v>
      </c>
      <c r="C19" s="76" t="s">
        <v>232</v>
      </c>
      <c r="D19" s="3" t="s">
        <v>149</v>
      </c>
      <c r="E19" s="3" t="s">
        <v>149</v>
      </c>
      <c r="F19" s="32" t="s">
        <v>233</v>
      </c>
    </row>
    <row r="20" spans="2:6" s="3" customFormat="1" ht="69" customHeight="1" x14ac:dyDescent="0.3">
      <c r="B20" s="3">
        <v>13</v>
      </c>
      <c r="C20" s="76" t="s">
        <v>234</v>
      </c>
      <c r="D20" s="3" t="s">
        <v>149</v>
      </c>
      <c r="E20" s="3" t="s">
        <v>149</v>
      </c>
      <c r="F20" s="130" t="s">
        <v>235</v>
      </c>
    </row>
    <row r="21" spans="2:6" s="3" customFormat="1" ht="69" customHeight="1" x14ac:dyDescent="0.3">
      <c r="B21" s="3">
        <v>14</v>
      </c>
      <c r="C21" s="104" t="s">
        <v>114</v>
      </c>
      <c r="D21" s="11" t="s">
        <v>149</v>
      </c>
      <c r="E21" s="11" t="s">
        <v>149</v>
      </c>
      <c r="F21" s="58" t="s">
        <v>236</v>
      </c>
    </row>
    <row r="22" spans="2:6" s="3" customFormat="1" ht="69" customHeight="1" x14ac:dyDescent="0.3">
      <c r="B22" s="40">
        <v>15</v>
      </c>
      <c r="C22" s="76" t="s">
        <v>116</v>
      </c>
      <c r="D22" s="11" t="s">
        <v>149</v>
      </c>
      <c r="E22" s="11" t="s">
        <v>149</v>
      </c>
      <c r="F22" s="58" t="s">
        <v>117</v>
      </c>
    </row>
    <row r="23" spans="2:6" s="3" customFormat="1" ht="69" customHeight="1" x14ac:dyDescent="0.3">
      <c r="B23" s="3">
        <v>16</v>
      </c>
      <c r="C23" s="119" t="s">
        <v>237</v>
      </c>
      <c r="D23" s="11" t="s">
        <v>149</v>
      </c>
      <c r="E23" s="11" t="s">
        <v>149</v>
      </c>
      <c r="F23" s="59" t="s">
        <v>238</v>
      </c>
    </row>
    <row r="24" spans="2:6" s="3" customFormat="1" ht="100.8" x14ac:dyDescent="0.3">
      <c r="B24" s="3">
        <v>17</v>
      </c>
      <c r="C24" s="76" t="s">
        <v>239</v>
      </c>
      <c r="D24" s="3" t="s">
        <v>149</v>
      </c>
      <c r="E24" s="3" t="s">
        <v>149</v>
      </c>
      <c r="F24" s="123" t="s">
        <v>240</v>
      </c>
    </row>
    <row r="25" spans="2:6" s="3" customFormat="1" ht="88.5" customHeight="1" x14ac:dyDescent="0.3">
      <c r="B25" s="40">
        <v>18</v>
      </c>
      <c r="C25" s="76" t="s">
        <v>241</v>
      </c>
      <c r="D25" s="3" t="s">
        <v>149</v>
      </c>
      <c r="E25" s="3" t="s">
        <v>149</v>
      </c>
      <c r="F25" s="123" t="s">
        <v>242</v>
      </c>
    </row>
    <row r="26" spans="2:6" s="3" customFormat="1" ht="104.25" customHeight="1" x14ac:dyDescent="0.3">
      <c r="B26" s="3">
        <v>19</v>
      </c>
      <c r="C26" s="76" t="s">
        <v>180</v>
      </c>
      <c r="D26" s="3" t="s">
        <v>149</v>
      </c>
      <c r="E26" s="3" t="s">
        <v>149</v>
      </c>
      <c r="F26" s="31" t="s">
        <v>181</v>
      </c>
    </row>
    <row r="27" spans="2:6" s="3" customFormat="1" ht="57.6" x14ac:dyDescent="0.3">
      <c r="B27" s="3">
        <v>20</v>
      </c>
      <c r="C27" s="76" t="s">
        <v>182</v>
      </c>
      <c r="D27" s="3" t="s">
        <v>149</v>
      </c>
      <c r="E27" s="3" t="s">
        <v>149</v>
      </c>
      <c r="F27" s="31" t="s">
        <v>183</v>
      </c>
    </row>
    <row r="28" spans="2:6" s="3" customFormat="1" ht="57.6" x14ac:dyDescent="0.3">
      <c r="B28" s="40">
        <v>21</v>
      </c>
      <c r="C28" s="74" t="s">
        <v>186</v>
      </c>
      <c r="D28" s="3" t="s">
        <v>149</v>
      </c>
      <c r="E28" s="3" t="s">
        <v>149</v>
      </c>
      <c r="F28" s="131" t="s">
        <v>243</v>
      </c>
    </row>
    <row r="29" spans="2:6" s="3" customFormat="1" ht="68.25" customHeight="1" x14ac:dyDescent="0.3">
      <c r="B29" s="3">
        <v>22</v>
      </c>
      <c r="C29" s="102" t="s">
        <v>188</v>
      </c>
      <c r="D29" s="3" t="s">
        <v>149</v>
      </c>
      <c r="E29" s="3" t="s">
        <v>149</v>
      </c>
      <c r="F29" s="61" t="s">
        <v>189</v>
      </c>
    </row>
    <row r="30" spans="2:6" s="3" customFormat="1" ht="87.75" customHeight="1" x14ac:dyDescent="0.3">
      <c r="B30" s="40">
        <v>23</v>
      </c>
      <c r="C30" s="76" t="s">
        <v>244</v>
      </c>
      <c r="D30" s="3" t="s">
        <v>149</v>
      </c>
      <c r="E30" s="3" t="s">
        <v>149</v>
      </c>
      <c r="F30" s="123" t="s">
        <v>245</v>
      </c>
    </row>
    <row r="31" spans="2:6" s="3" customFormat="1" ht="43.2" x14ac:dyDescent="0.3">
      <c r="B31" s="3">
        <v>24</v>
      </c>
      <c r="C31" s="76" t="s">
        <v>130</v>
      </c>
      <c r="D31" s="3" t="s">
        <v>149</v>
      </c>
      <c r="E31" s="3" t="s">
        <v>149</v>
      </c>
      <c r="F31" s="58" t="s">
        <v>131</v>
      </c>
    </row>
    <row r="32" spans="2:6" s="3" customFormat="1" ht="43.2" x14ac:dyDescent="0.3">
      <c r="B32" s="3">
        <v>25</v>
      </c>
      <c r="C32" s="76" t="s">
        <v>132</v>
      </c>
      <c r="D32" s="3" t="s">
        <v>149</v>
      </c>
      <c r="E32" s="3" t="s">
        <v>149</v>
      </c>
      <c r="F32" s="58" t="s">
        <v>133</v>
      </c>
    </row>
    <row r="33" spans="2:7" s="3" customFormat="1" ht="97.5" customHeight="1" x14ac:dyDescent="0.3">
      <c r="B33" s="40">
        <v>26</v>
      </c>
      <c r="C33" s="76" t="s">
        <v>190</v>
      </c>
      <c r="D33" s="3" t="s">
        <v>149</v>
      </c>
      <c r="E33" s="3" t="s">
        <v>149</v>
      </c>
      <c r="F33" s="61" t="s">
        <v>191</v>
      </c>
    </row>
    <row r="34" spans="2:7" s="3" customFormat="1" ht="93" customHeight="1" x14ac:dyDescent="0.3">
      <c r="B34" s="3">
        <v>27</v>
      </c>
      <c r="C34" s="76" t="s">
        <v>192</v>
      </c>
      <c r="D34" s="3" t="s">
        <v>149</v>
      </c>
      <c r="E34" s="3" t="s">
        <v>149</v>
      </c>
      <c r="F34" s="61" t="s">
        <v>193</v>
      </c>
    </row>
    <row r="35" spans="2:7" s="3" customFormat="1" ht="57.6" x14ac:dyDescent="0.3">
      <c r="B35" s="3">
        <v>28</v>
      </c>
      <c r="C35" s="102" t="s">
        <v>134</v>
      </c>
      <c r="D35" s="3" t="s">
        <v>149</v>
      </c>
      <c r="E35" s="3" t="s">
        <v>149</v>
      </c>
      <c r="F35" s="58" t="s">
        <v>135</v>
      </c>
    </row>
    <row r="36" spans="2:7" s="3" customFormat="1" ht="57.6" x14ac:dyDescent="0.3">
      <c r="B36" s="40">
        <v>29</v>
      </c>
      <c r="C36" s="76" t="s">
        <v>136</v>
      </c>
      <c r="D36" s="3" t="s">
        <v>149</v>
      </c>
      <c r="E36" s="3" t="s">
        <v>149</v>
      </c>
      <c r="F36" s="58" t="s">
        <v>137</v>
      </c>
    </row>
    <row r="37" spans="2:7" s="3" customFormat="1" ht="28.8" x14ac:dyDescent="0.3">
      <c r="B37" s="3">
        <v>30</v>
      </c>
      <c r="C37" s="102" t="s">
        <v>138</v>
      </c>
      <c r="D37" s="3" t="s">
        <v>149</v>
      </c>
      <c r="E37" s="3" t="s">
        <v>149</v>
      </c>
      <c r="F37" s="58" t="s">
        <v>139</v>
      </c>
    </row>
    <row r="38" spans="2:7" s="3" customFormat="1" ht="43.2" x14ac:dyDescent="0.3">
      <c r="B38" s="3">
        <v>31</v>
      </c>
      <c r="C38" s="76" t="s">
        <v>194</v>
      </c>
      <c r="D38" s="3" t="s">
        <v>149</v>
      </c>
      <c r="E38" s="3" t="s">
        <v>149</v>
      </c>
      <c r="F38" s="61" t="s">
        <v>195</v>
      </c>
    </row>
    <row r="39" spans="2:7" s="3" customFormat="1" ht="28.8" x14ac:dyDescent="0.3">
      <c r="B39" s="40">
        <v>32</v>
      </c>
      <c r="C39" s="102" t="s">
        <v>196</v>
      </c>
      <c r="D39" s="3" t="s">
        <v>149</v>
      </c>
      <c r="E39" s="3" t="s">
        <v>149</v>
      </c>
      <c r="F39" s="31" t="s">
        <v>197</v>
      </c>
      <c r="G39" s="103"/>
    </row>
    <row r="40" spans="2:7" ht="14.4" x14ac:dyDescent="0.3">
      <c r="B40" s="28"/>
      <c r="C40" s="28"/>
      <c r="F40" s="28"/>
    </row>
    <row r="41" spans="2:7" ht="14.4" x14ac:dyDescent="0.3"/>
    <row r="42" spans="2:7" ht="14.4" x14ac:dyDescent="0.3"/>
    <row r="43" spans="2:7" ht="14.4" x14ac:dyDescent="0.3"/>
    <row r="44" spans="2:7" ht="14.4" x14ac:dyDescent="0.3"/>
    <row r="45" spans="2:7" ht="14.4" x14ac:dyDescent="0.3"/>
    <row r="46" spans="2:7" ht="14.4" x14ac:dyDescent="0.3"/>
    <row r="47" spans="2:7" ht="14.4" x14ac:dyDescent="0.3"/>
    <row r="48" spans="2:7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</sheetData>
  <mergeCells count="1">
    <mergeCell ref="D3:E3"/>
  </mergeCells>
  <conditionalFormatting sqref="C21:C22">
    <cfRule type="duplicateValues" dxfId="3" priority="1"/>
  </conditionalFormatting>
  <hyperlinks>
    <hyperlink ref="C15" r:id="rId1" xr:uid="{63B77A6B-8AF6-446D-9B39-9A058253C028}"/>
    <hyperlink ref="C20" r:id="rId2" tooltip="https://portal.sat.gob.gt/portal/sistemas-web/retencioneswebisr/" xr:uid="{DD1E8397-AF2F-42F6-8B80-06EFE3DACFFF}"/>
    <hyperlink ref="C21" r:id="rId3" tooltip="https://portal.sat.gob.gt/portal/sistemas-web/retencioneswebiva/" xr:uid="{111FDF29-9648-4884-B591-A05E101263B6}"/>
    <hyperlink ref="C19" r:id="rId4" xr:uid="{DB1D601E-7EB2-4AED-AEF0-E00308733F6F}"/>
    <hyperlink ref="C18" r:id="rId5" xr:uid="{14F53C1D-6B86-4529-B3F5-338778616469}"/>
    <hyperlink ref="C13" r:id="rId6" location="capacitacion" xr:uid="{580EA2AC-2A92-4830-AE72-6E1598313300}"/>
    <hyperlink ref="C9" r:id="rId7" xr:uid="{00F00BE1-F1AD-433F-ADEC-BFA24201B8D4}"/>
    <hyperlink ref="C12" r:id="rId8" xr:uid="{08ECF8CA-4434-41E8-93F8-84DC41699370}"/>
    <hyperlink ref="C29" r:id="rId9" location="1606494573178-22f9effd-91cc" xr:uid="{161000B5-3404-41AF-82BD-8F79C91CEA9F}"/>
    <hyperlink ref="C11" r:id="rId10" xr:uid="{0A3DC3E6-87B5-4D35-BB29-D0CC9182B826}"/>
    <hyperlink ref="C22" r:id="rId11" xr:uid="{12A72A1E-9400-4A57-9A5A-CEAD691DDC12}"/>
    <hyperlink ref="C14" r:id="rId12" xr:uid="{2924A3E4-7802-4CBA-B881-E2A9AA885FF6}"/>
    <hyperlink ref="C16" r:id="rId13" xr:uid="{C58C35AA-B93A-43A5-855F-C359D7E192D4}"/>
    <hyperlink ref="C17" r:id="rId14" xr:uid="{11B37B16-B296-447E-B4DA-F278E8B13464}"/>
    <hyperlink ref="C24" r:id="rId15" xr:uid="{2C04EBD5-19DB-449F-8183-C88CA953F16D}"/>
    <hyperlink ref="C8" r:id="rId16" xr:uid="{AAB51C1E-E237-4589-AA96-E74E3900A153}"/>
    <hyperlink ref="C37" r:id="rId17" location="1541777125986-97d04375-37ee" xr:uid="{61F41023-06CE-4EB6-93D8-A894CFAF7A15}"/>
    <hyperlink ref="C39" r:id="rId18" xr:uid="{0DF55C33-97AF-43EB-BB58-7779410468CE}"/>
    <hyperlink ref="C35" r:id="rId19" location="1541722264551-ab829ede-22f8" xr:uid="{F301E4AA-E9EB-4734-8C9A-97163B34E106}"/>
    <hyperlink ref="C30" r:id="rId20" location="1715356603270-207da69d-8699" xr:uid="{88025A94-570D-4EF3-8C8D-8BF537D981D1}"/>
    <hyperlink ref="C28" r:id="rId21" location="1544742215300-58052f9f-10b1" xr:uid="{23832C73-954D-4A8D-9AB3-D8DBA6A6FBC6}"/>
    <hyperlink ref="C31" r:id="rId22" location="1541722263760-bed533a1-d75d" xr:uid="{450078F1-D840-4816-93D9-95A5D6B0CE74}"/>
    <hyperlink ref="C38" r:id="rId23" location="1642106578727-c83d17c4-34da" xr:uid="{423F8BEF-3C99-46CC-BC1C-C5B8189D287E}"/>
    <hyperlink ref="C34" r:id="rId24" location="1541722264271-487e21fd-d904" xr:uid="{40DC0E0B-6EBC-4BEA-906C-FED7C1E98825}"/>
    <hyperlink ref="C27" r:id="rId25" location="1541721863086-9194f94d-dd70" xr:uid="{93EC40D0-1B48-4E8E-B00C-CFE98BA20E2F}"/>
    <hyperlink ref="C25" r:id="rId26" location="1541695993129-3a5733fd-bd87" xr:uid="{393AD844-A5E9-4E71-B8EB-CF254D5AF7EB}"/>
    <hyperlink ref="C26" r:id="rId27" location="1541718919329-b32e6928-0a05" xr:uid="{E8D5CD10-B5B8-48D6-A951-C1FF8FAC6705}"/>
    <hyperlink ref="C32" r:id="rId28" location="1541722263997-e0d7cba3-7daf" xr:uid="{8C02C4EF-910B-44CE-963D-A921C4CE1B06}"/>
    <hyperlink ref="C33" r:id="rId29" xr:uid="{6C6EE9EA-456E-4C33-977D-B63C6D1B6BA9}"/>
    <hyperlink ref="C10" r:id="rId30" xr:uid="{E6BACD9F-97BA-44B5-92A5-7C0C25F4A3B9}"/>
    <hyperlink ref="C23" r:id="rId31" xr:uid="{7B8CEC07-341C-42C9-AE44-C0073D9F0066}"/>
    <hyperlink ref="C36" r:id="rId32" location="1541776381173-61f2f55a-46dc" xr:uid="{EC45FA0B-41EE-44F3-861E-F5BF2546D6C9}"/>
  </hyperlinks>
  <pageMargins left="0.75" right="0.75" top="1" bottom="1" header="0.5" footer="0.5"/>
  <tableParts count="1">
    <tablePart r:id="rId3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15620-7BE8-4879-A535-B669DC248078}">
  <dimension ref="A1:H63"/>
  <sheetViews>
    <sheetView workbookViewId="0">
      <pane ySplit="9" topLeftCell="A10" activePane="bottomLeft" state="frozen"/>
      <selection pane="bottomLeft" activeCell="B10" sqref="B10:G59"/>
    </sheetView>
  </sheetViews>
  <sheetFormatPr baseColWidth="10" defaultColWidth="8.88671875" defaultRowHeight="14.4" x14ac:dyDescent="0.3"/>
  <cols>
    <col min="1" max="1" width="2.5546875" customWidth="1"/>
    <col min="2" max="2" width="6.109375" bestFit="1" customWidth="1"/>
    <col min="3" max="3" width="95.109375" style="27" customWidth="1"/>
    <col min="4" max="6" width="15.44140625" style="21" customWidth="1"/>
    <col min="7" max="7" width="78.44140625" customWidth="1"/>
  </cols>
  <sheetData>
    <row r="1" spans="1:8" s="29" customFormat="1" x14ac:dyDescent="0.3">
      <c r="C1" s="3"/>
    </row>
    <row r="2" spans="1:8" s="29" customFormat="1" x14ac:dyDescent="0.3">
      <c r="C2" s="89" t="s">
        <v>94</v>
      </c>
      <c r="D2" s="48" t="s">
        <v>22</v>
      </c>
      <c r="E2" s="48" t="s">
        <v>23</v>
      </c>
      <c r="F2" s="48" t="s">
        <v>24</v>
      </c>
    </row>
    <row r="3" spans="1:8" s="29" customFormat="1" x14ac:dyDescent="0.3">
      <c r="C3" s="90" t="s">
        <v>200</v>
      </c>
      <c r="D3" s="153">
        <f>COUNTIF(C10:C59,"*")</f>
        <v>48</v>
      </c>
      <c r="E3" s="153"/>
      <c r="F3" s="153"/>
    </row>
    <row r="4" spans="1:8" s="29" customFormat="1" x14ac:dyDescent="0.3">
      <c r="C4" s="90" t="s">
        <v>201</v>
      </c>
      <c r="D4" s="70">
        <f>COUNTIF(D10:D50,"*")</f>
        <v>41</v>
      </c>
      <c r="E4" s="70">
        <f>COUNTIF(E10:E50,"*")</f>
        <v>41</v>
      </c>
      <c r="F4" s="70">
        <f>COUNTIF(F10:F50,"*")</f>
        <v>41</v>
      </c>
    </row>
    <row r="5" spans="1:8" s="29" customFormat="1" x14ac:dyDescent="0.3">
      <c r="C5" s="155" t="s">
        <v>246</v>
      </c>
      <c r="D5" s="70">
        <v>4</v>
      </c>
      <c r="E5" s="70">
        <v>4</v>
      </c>
      <c r="F5" s="86"/>
    </row>
    <row r="6" spans="1:8" s="29" customFormat="1" x14ac:dyDescent="0.3">
      <c r="C6" s="155"/>
      <c r="D6" s="70"/>
      <c r="E6" s="70">
        <v>1</v>
      </c>
      <c r="F6" s="70">
        <v>1</v>
      </c>
    </row>
    <row r="7" spans="1:8" s="29" customFormat="1" x14ac:dyDescent="0.3">
      <c r="C7" s="90" t="s">
        <v>247</v>
      </c>
      <c r="D7" s="86"/>
      <c r="E7" s="86"/>
      <c r="F7" s="70">
        <f>COUNTIF(F58:F59,"*")</f>
        <v>2</v>
      </c>
    </row>
    <row r="8" spans="1:8" s="29" customFormat="1" x14ac:dyDescent="0.3">
      <c r="C8" s="3">
        <f>COUNTIF(C10:C59,"*")</f>
        <v>48</v>
      </c>
      <c r="D8" s="29">
        <f>COUNTIF(D10:D59,"*")</f>
        <v>45</v>
      </c>
      <c r="E8" s="29">
        <f>COUNTIF(E10:E59,"*")</f>
        <v>46</v>
      </c>
      <c r="F8" s="29">
        <f>COUNTIF(F10:F59,"*")</f>
        <v>44</v>
      </c>
    </row>
    <row r="9" spans="1:8" s="29" customFormat="1" x14ac:dyDescent="0.3">
      <c r="A9" s="72"/>
      <c r="B9" s="2" t="s">
        <v>0</v>
      </c>
      <c r="C9" s="69" t="s">
        <v>96</v>
      </c>
      <c r="D9" s="2" t="s">
        <v>22</v>
      </c>
      <c r="E9" s="2" t="s">
        <v>23</v>
      </c>
      <c r="F9" s="2" t="s">
        <v>24</v>
      </c>
      <c r="G9" s="2" t="s">
        <v>97</v>
      </c>
    </row>
    <row r="10" spans="1:8" s="29" customFormat="1" ht="43.2" x14ac:dyDescent="0.3">
      <c r="B10" s="29">
        <v>1</v>
      </c>
      <c r="C10" s="54" t="s">
        <v>98</v>
      </c>
      <c r="D10" s="54" t="s">
        <v>149</v>
      </c>
      <c r="E10" s="54" t="s">
        <v>149</v>
      </c>
      <c r="F10" s="54" t="s">
        <v>149</v>
      </c>
      <c r="G10" s="58" t="s">
        <v>150</v>
      </c>
      <c r="H10" s="82"/>
    </row>
    <row r="11" spans="1:8" s="29" customFormat="1" ht="57.6" x14ac:dyDescent="0.3">
      <c r="B11" s="29">
        <v>2</v>
      </c>
      <c r="C11" s="54" t="s">
        <v>102</v>
      </c>
      <c r="D11" s="54" t="s">
        <v>149</v>
      </c>
      <c r="E11" s="54" t="s">
        <v>149</v>
      </c>
      <c r="F11" s="54" t="s">
        <v>149</v>
      </c>
      <c r="G11" s="58" t="s">
        <v>151</v>
      </c>
      <c r="H11" s="82"/>
    </row>
    <row r="12" spans="1:8" s="29" customFormat="1" ht="28.8" x14ac:dyDescent="0.3">
      <c r="B12" s="29">
        <v>3</v>
      </c>
      <c r="C12" s="54" t="s">
        <v>156</v>
      </c>
      <c r="D12" s="54" t="s">
        <v>149</v>
      </c>
      <c r="E12" s="54" t="s">
        <v>149</v>
      </c>
      <c r="F12" s="54" t="s">
        <v>149</v>
      </c>
      <c r="G12" s="124" t="s">
        <v>248</v>
      </c>
      <c r="H12" s="82"/>
    </row>
    <row r="13" spans="1:8" s="29" customFormat="1" ht="43.2" x14ac:dyDescent="0.3">
      <c r="B13" s="29">
        <v>4</v>
      </c>
      <c r="C13" s="54" t="s">
        <v>152</v>
      </c>
      <c r="D13" s="54" t="s">
        <v>149</v>
      </c>
      <c r="E13" s="54" t="s">
        <v>149</v>
      </c>
      <c r="F13" s="54" t="s">
        <v>149</v>
      </c>
      <c r="G13" s="132" t="s">
        <v>249</v>
      </c>
      <c r="H13" s="82"/>
    </row>
    <row r="14" spans="1:8" s="29" customFormat="1" ht="43.2" x14ac:dyDescent="0.3">
      <c r="B14" s="29">
        <v>5</v>
      </c>
      <c r="C14" s="54" t="s">
        <v>104</v>
      </c>
      <c r="D14" s="54" t="s">
        <v>149</v>
      </c>
      <c r="E14" s="54" t="s">
        <v>149</v>
      </c>
      <c r="F14" s="54" t="s">
        <v>149</v>
      </c>
      <c r="G14" s="58" t="s">
        <v>250</v>
      </c>
      <c r="H14" s="82"/>
    </row>
    <row r="15" spans="1:8" s="29" customFormat="1" ht="45" customHeight="1" x14ac:dyDescent="0.3">
      <c r="B15" s="29">
        <v>6</v>
      </c>
      <c r="C15" s="76" t="s">
        <v>161</v>
      </c>
      <c r="D15" s="54" t="s">
        <v>149</v>
      </c>
      <c r="E15" s="54" t="s">
        <v>149</v>
      </c>
      <c r="F15" s="54" t="s">
        <v>149</v>
      </c>
      <c r="G15" s="58" t="s">
        <v>251</v>
      </c>
      <c r="H15" s="82"/>
    </row>
    <row r="16" spans="1:8" s="29" customFormat="1" ht="92.25" customHeight="1" x14ac:dyDescent="0.3">
      <c r="B16" s="29">
        <v>7</v>
      </c>
      <c r="C16" s="82" t="s">
        <v>252</v>
      </c>
      <c r="D16" s="54" t="s">
        <v>149</v>
      </c>
      <c r="E16" s="54" t="s">
        <v>149</v>
      </c>
      <c r="F16" s="54" t="s">
        <v>149</v>
      </c>
      <c r="G16" s="123" t="s">
        <v>253</v>
      </c>
      <c r="H16" s="82"/>
    </row>
    <row r="17" spans="2:8" s="29" customFormat="1" ht="43.2" x14ac:dyDescent="0.3">
      <c r="B17" s="29">
        <v>8</v>
      </c>
      <c r="C17" s="82" t="s">
        <v>254</v>
      </c>
      <c r="D17" s="54" t="s">
        <v>149</v>
      </c>
      <c r="E17" s="54" t="s">
        <v>149</v>
      </c>
      <c r="F17" s="54" t="s">
        <v>149</v>
      </c>
      <c r="G17" s="123" t="s">
        <v>255</v>
      </c>
      <c r="H17" s="82"/>
    </row>
    <row r="18" spans="2:8" s="29" customFormat="1" ht="59.25" customHeight="1" x14ac:dyDescent="0.3">
      <c r="B18" s="29">
        <v>9</v>
      </c>
      <c r="C18" s="54" t="s">
        <v>110</v>
      </c>
      <c r="D18" s="54" t="s">
        <v>149</v>
      </c>
      <c r="E18" s="54" t="s">
        <v>149</v>
      </c>
      <c r="F18" s="54" t="s">
        <v>149</v>
      </c>
      <c r="G18" s="58" t="s">
        <v>111</v>
      </c>
      <c r="H18" s="82"/>
    </row>
    <row r="19" spans="2:8" s="29" customFormat="1" ht="28.8" x14ac:dyDescent="0.3">
      <c r="B19" s="29">
        <v>10</v>
      </c>
      <c r="C19" s="54" t="s">
        <v>212</v>
      </c>
      <c r="D19" s="54" t="s">
        <v>149</v>
      </c>
      <c r="E19" s="54" t="s">
        <v>149</v>
      </c>
      <c r="F19" s="54" t="s">
        <v>149</v>
      </c>
      <c r="G19" s="124" t="s">
        <v>256</v>
      </c>
      <c r="H19" s="99"/>
    </row>
    <row r="20" spans="2:8" s="29" customFormat="1" ht="28.8" x14ac:dyDescent="0.3">
      <c r="B20" s="29">
        <v>11</v>
      </c>
      <c r="C20" s="54" t="s">
        <v>214</v>
      </c>
      <c r="D20" s="54" t="s">
        <v>149</v>
      </c>
      <c r="E20" s="54" t="s">
        <v>149</v>
      </c>
      <c r="F20" s="54" t="s">
        <v>149</v>
      </c>
      <c r="G20" s="124" t="s">
        <v>257</v>
      </c>
      <c r="H20" s="99"/>
    </row>
    <row r="21" spans="2:8" s="29" customFormat="1" ht="64.5" customHeight="1" x14ac:dyDescent="0.3">
      <c r="B21" s="29">
        <v>12</v>
      </c>
      <c r="C21" s="82" t="s">
        <v>258</v>
      </c>
      <c r="D21" s="54" t="s">
        <v>149</v>
      </c>
      <c r="E21" s="54" t="s">
        <v>149</v>
      </c>
      <c r="F21" s="54" t="s">
        <v>149</v>
      </c>
      <c r="G21" s="123" t="s">
        <v>259</v>
      </c>
      <c r="H21" s="99"/>
    </row>
    <row r="22" spans="2:8" s="29" customFormat="1" ht="54" customHeight="1" x14ac:dyDescent="0.3">
      <c r="B22" s="29">
        <v>13</v>
      </c>
      <c r="C22" s="98" t="s">
        <v>260</v>
      </c>
      <c r="D22" s="54" t="s">
        <v>149</v>
      </c>
      <c r="E22" s="54" t="s">
        <v>149</v>
      </c>
      <c r="F22" s="54" t="s">
        <v>149</v>
      </c>
      <c r="G22" s="57" t="s">
        <v>261</v>
      </c>
      <c r="H22" s="99"/>
    </row>
    <row r="23" spans="2:8" s="29" customFormat="1" ht="28.8" x14ac:dyDescent="0.3">
      <c r="B23" s="29">
        <v>14</v>
      </c>
      <c r="C23" s="54" t="s">
        <v>116</v>
      </c>
      <c r="D23" s="54" t="s">
        <v>149</v>
      </c>
      <c r="E23" s="54" t="s">
        <v>149</v>
      </c>
      <c r="F23" s="54" t="s">
        <v>149</v>
      </c>
      <c r="G23" s="58" t="s">
        <v>117</v>
      </c>
      <c r="H23" s="99"/>
    </row>
    <row r="24" spans="2:8" s="29" customFormat="1" ht="64.5" customHeight="1" x14ac:dyDescent="0.3">
      <c r="B24" s="29">
        <v>15</v>
      </c>
      <c r="C24" s="54" t="s">
        <v>237</v>
      </c>
      <c r="D24" s="54" t="s">
        <v>149</v>
      </c>
      <c r="E24" s="54" t="s">
        <v>149</v>
      </c>
      <c r="F24" s="54" t="s">
        <v>149</v>
      </c>
      <c r="G24" s="124" t="s">
        <v>262</v>
      </c>
      <c r="H24" s="99"/>
    </row>
    <row r="25" spans="2:8" s="29" customFormat="1" ht="64.5" customHeight="1" x14ac:dyDescent="0.3">
      <c r="B25" s="29">
        <v>16</v>
      </c>
      <c r="C25" s="82" t="s">
        <v>263</v>
      </c>
      <c r="D25" s="54" t="s">
        <v>149</v>
      </c>
      <c r="E25" s="54" t="s">
        <v>149</v>
      </c>
      <c r="F25" s="54" t="s">
        <v>149</v>
      </c>
      <c r="G25" s="61" t="s">
        <v>264</v>
      </c>
      <c r="H25" s="99"/>
    </row>
    <row r="26" spans="2:8" s="29" customFormat="1" ht="64.5" customHeight="1" x14ac:dyDescent="0.3">
      <c r="B26" s="29">
        <v>17</v>
      </c>
      <c r="C26" s="74" t="s">
        <v>265</v>
      </c>
      <c r="D26" s="54" t="s">
        <v>149</v>
      </c>
      <c r="E26" s="54" t="s">
        <v>149</v>
      </c>
      <c r="F26" s="54" t="s">
        <v>149</v>
      </c>
      <c r="G26" s="59" t="s">
        <v>266</v>
      </c>
      <c r="H26" s="99"/>
    </row>
    <row r="27" spans="2:8" s="29" customFormat="1" ht="61.5" customHeight="1" x14ac:dyDescent="0.3">
      <c r="B27" s="29">
        <v>18</v>
      </c>
      <c r="C27" s="74" t="s">
        <v>267</v>
      </c>
      <c r="D27" s="54" t="s">
        <v>149</v>
      </c>
      <c r="E27" s="54" t="s">
        <v>149</v>
      </c>
      <c r="F27" s="54" t="s">
        <v>149</v>
      </c>
      <c r="G27" s="123" t="s">
        <v>268</v>
      </c>
      <c r="H27" s="99"/>
    </row>
    <row r="28" spans="2:8" s="29" customFormat="1" ht="61.5" customHeight="1" x14ac:dyDescent="0.3">
      <c r="B28" s="29">
        <v>19</v>
      </c>
      <c r="C28" s="74" t="s">
        <v>269</v>
      </c>
      <c r="D28" s="54" t="s">
        <v>149</v>
      </c>
      <c r="E28" s="54" t="s">
        <v>149</v>
      </c>
      <c r="F28" s="54" t="s">
        <v>149</v>
      </c>
      <c r="G28" s="59" t="s">
        <v>270</v>
      </c>
      <c r="H28" s="99"/>
    </row>
    <row r="29" spans="2:8" s="29" customFormat="1" ht="126.75" customHeight="1" x14ac:dyDescent="0.3">
      <c r="B29" s="29">
        <v>20</v>
      </c>
      <c r="C29" s="98" t="s">
        <v>271</v>
      </c>
      <c r="D29" s="54" t="s">
        <v>149</v>
      </c>
      <c r="E29" s="54" t="s">
        <v>149</v>
      </c>
      <c r="F29" s="54" t="s">
        <v>149</v>
      </c>
      <c r="G29" s="123" t="s">
        <v>272</v>
      </c>
      <c r="H29" s="99"/>
    </row>
    <row r="30" spans="2:8" s="29" customFormat="1" ht="57.6" x14ac:dyDescent="0.3">
      <c r="B30" s="29">
        <v>21</v>
      </c>
      <c r="C30" s="98" t="s">
        <v>273</v>
      </c>
      <c r="D30" s="54" t="s">
        <v>149</v>
      </c>
      <c r="E30" s="54" t="s">
        <v>149</v>
      </c>
      <c r="F30" s="54" t="s">
        <v>149</v>
      </c>
      <c r="G30" s="59" t="s">
        <v>274</v>
      </c>
      <c r="H30" s="99"/>
    </row>
    <row r="31" spans="2:8" s="29" customFormat="1" ht="43.2" x14ac:dyDescent="0.3">
      <c r="B31" s="29">
        <v>22</v>
      </c>
      <c r="C31" s="82" t="s">
        <v>275</v>
      </c>
      <c r="D31" s="54" t="s">
        <v>149</v>
      </c>
      <c r="E31" s="54" t="s">
        <v>149</v>
      </c>
      <c r="F31" s="54" t="s">
        <v>149</v>
      </c>
      <c r="G31" s="125" t="s">
        <v>276</v>
      </c>
      <c r="H31" s="99"/>
    </row>
    <row r="32" spans="2:8" s="29" customFormat="1" ht="43.2" x14ac:dyDescent="0.3">
      <c r="B32" s="29">
        <v>23</v>
      </c>
      <c r="C32" s="82" t="s">
        <v>277</v>
      </c>
      <c r="D32" s="54" t="s">
        <v>149</v>
      </c>
      <c r="E32" s="54" t="s">
        <v>149</v>
      </c>
      <c r="F32" s="54" t="s">
        <v>149</v>
      </c>
      <c r="G32" s="123" t="s">
        <v>278</v>
      </c>
      <c r="H32" s="99"/>
    </row>
    <row r="33" spans="2:8" s="29" customFormat="1" ht="77.25" customHeight="1" x14ac:dyDescent="0.3">
      <c r="B33" s="29">
        <v>24</v>
      </c>
      <c r="C33" s="120" t="s">
        <v>279</v>
      </c>
      <c r="D33" s="54" t="s">
        <v>149</v>
      </c>
      <c r="E33" s="54" t="s">
        <v>149</v>
      </c>
      <c r="F33" s="54" t="s">
        <v>149</v>
      </c>
      <c r="G33" s="59" t="s">
        <v>280</v>
      </c>
      <c r="H33" s="99"/>
    </row>
    <row r="34" spans="2:8" s="29" customFormat="1" ht="57.6" x14ac:dyDescent="0.3">
      <c r="B34" s="29">
        <v>25</v>
      </c>
      <c r="C34" s="82" t="s">
        <v>281</v>
      </c>
      <c r="D34" s="54" t="s">
        <v>149</v>
      </c>
      <c r="E34" s="54" t="s">
        <v>149</v>
      </c>
      <c r="F34" s="54" t="s">
        <v>149</v>
      </c>
      <c r="G34" s="59" t="s">
        <v>282</v>
      </c>
      <c r="H34" s="99"/>
    </row>
    <row r="35" spans="2:8" s="29" customFormat="1" ht="57.6" x14ac:dyDescent="0.3">
      <c r="B35" s="29">
        <v>26</v>
      </c>
      <c r="C35" s="98" t="s">
        <v>283</v>
      </c>
      <c r="D35" s="54" t="s">
        <v>149</v>
      </c>
      <c r="E35" s="54" t="s">
        <v>149</v>
      </c>
      <c r="F35" s="54" t="s">
        <v>149</v>
      </c>
      <c r="G35" s="123" t="s">
        <v>284</v>
      </c>
      <c r="H35" s="99"/>
    </row>
    <row r="36" spans="2:8" s="29" customFormat="1" ht="43.2" x14ac:dyDescent="0.3">
      <c r="B36" s="29">
        <v>27</v>
      </c>
      <c r="C36" s="98" t="s">
        <v>285</v>
      </c>
      <c r="D36" s="54" t="s">
        <v>149</v>
      </c>
      <c r="E36" s="54" t="s">
        <v>149</v>
      </c>
      <c r="F36" s="54" t="s">
        <v>149</v>
      </c>
      <c r="G36" s="31" t="s">
        <v>286</v>
      </c>
      <c r="H36" s="99"/>
    </row>
    <row r="37" spans="2:8" s="29" customFormat="1" ht="43.2" x14ac:dyDescent="0.3">
      <c r="B37" s="29">
        <v>28</v>
      </c>
      <c r="C37" s="82" t="s">
        <v>287</v>
      </c>
      <c r="D37" s="54" t="s">
        <v>149</v>
      </c>
      <c r="E37" s="54" t="s">
        <v>149</v>
      </c>
      <c r="F37" s="54" t="s">
        <v>149</v>
      </c>
      <c r="G37" s="31" t="s">
        <v>288</v>
      </c>
      <c r="H37" s="99"/>
    </row>
    <row r="38" spans="2:8" s="29" customFormat="1" ht="43.2" x14ac:dyDescent="0.3">
      <c r="B38" s="29">
        <v>29</v>
      </c>
      <c r="C38" s="54" t="s">
        <v>180</v>
      </c>
      <c r="D38" s="54" t="s">
        <v>149</v>
      </c>
      <c r="E38" s="54" t="s">
        <v>149</v>
      </c>
      <c r="F38" s="54" t="s">
        <v>149</v>
      </c>
      <c r="G38" s="31" t="s">
        <v>181</v>
      </c>
      <c r="H38" s="82"/>
    </row>
    <row r="39" spans="2:8" s="29" customFormat="1" ht="43.2" x14ac:dyDescent="0.3">
      <c r="B39" s="29">
        <v>30</v>
      </c>
      <c r="C39" s="54" t="s">
        <v>182</v>
      </c>
      <c r="D39" s="54" t="s">
        <v>149</v>
      </c>
      <c r="E39" s="54" t="s">
        <v>149</v>
      </c>
      <c r="F39" s="54" t="s">
        <v>149</v>
      </c>
      <c r="G39" s="31" t="s">
        <v>183</v>
      </c>
      <c r="H39" s="82"/>
    </row>
    <row r="40" spans="2:8" s="29" customFormat="1" ht="43.2" x14ac:dyDescent="0.3">
      <c r="B40" s="29">
        <v>31</v>
      </c>
      <c r="C40" s="54" t="s">
        <v>186</v>
      </c>
      <c r="D40" s="54" t="s">
        <v>149</v>
      </c>
      <c r="E40" s="54" t="s">
        <v>149</v>
      </c>
      <c r="F40" s="54" t="s">
        <v>149</v>
      </c>
      <c r="G40" s="61" t="s">
        <v>187</v>
      </c>
      <c r="H40" s="82"/>
    </row>
    <row r="41" spans="2:8" s="29" customFormat="1" ht="28.8" x14ac:dyDescent="0.3">
      <c r="B41" s="29">
        <v>32</v>
      </c>
      <c r="C41" s="54" t="s">
        <v>188</v>
      </c>
      <c r="D41" s="54" t="s">
        <v>149</v>
      </c>
      <c r="E41" s="54" t="s">
        <v>149</v>
      </c>
      <c r="F41" s="54" t="s">
        <v>149</v>
      </c>
      <c r="G41" s="61" t="s">
        <v>189</v>
      </c>
      <c r="H41" s="82"/>
    </row>
    <row r="42" spans="2:8" s="29" customFormat="1" ht="43.2" x14ac:dyDescent="0.3">
      <c r="B42" s="29">
        <v>33</v>
      </c>
      <c r="C42" s="54" t="s">
        <v>130</v>
      </c>
      <c r="D42" s="54" t="s">
        <v>149</v>
      </c>
      <c r="E42" s="54" t="s">
        <v>149</v>
      </c>
      <c r="F42" s="54" t="s">
        <v>149</v>
      </c>
      <c r="G42" s="58" t="s">
        <v>131</v>
      </c>
      <c r="H42" s="82"/>
    </row>
    <row r="43" spans="2:8" s="29" customFormat="1" ht="43.2" x14ac:dyDescent="0.3">
      <c r="B43" s="29">
        <v>34</v>
      </c>
      <c r="C43" s="54" t="s">
        <v>132</v>
      </c>
      <c r="D43" s="54" t="s">
        <v>149</v>
      </c>
      <c r="E43" s="54" t="s">
        <v>149</v>
      </c>
      <c r="F43" s="54" t="s">
        <v>149</v>
      </c>
      <c r="G43" s="58" t="s">
        <v>133</v>
      </c>
      <c r="H43" s="82"/>
    </row>
    <row r="44" spans="2:8" s="29" customFormat="1" ht="72" x14ac:dyDescent="0.3">
      <c r="B44" s="29">
        <v>35</v>
      </c>
      <c r="C44" s="74" t="s">
        <v>289</v>
      </c>
      <c r="D44" s="54" t="s">
        <v>149</v>
      </c>
      <c r="E44" s="54" t="s">
        <v>149</v>
      </c>
      <c r="F44" s="54" t="s">
        <v>149</v>
      </c>
      <c r="G44" s="59" t="s">
        <v>290</v>
      </c>
      <c r="H44" s="82"/>
    </row>
    <row r="45" spans="2:8" s="29" customFormat="1" ht="57.6" x14ac:dyDescent="0.3">
      <c r="B45" s="29">
        <v>36</v>
      </c>
      <c r="C45" s="54" t="s">
        <v>192</v>
      </c>
      <c r="D45" s="54" t="s">
        <v>149</v>
      </c>
      <c r="E45" s="54" t="s">
        <v>149</v>
      </c>
      <c r="F45" s="54" t="s">
        <v>149</v>
      </c>
      <c r="G45" s="61" t="s">
        <v>193</v>
      </c>
      <c r="H45" s="82"/>
    </row>
    <row r="46" spans="2:8" s="29" customFormat="1" ht="28.8" x14ac:dyDescent="0.3">
      <c r="B46" s="29">
        <v>37</v>
      </c>
      <c r="C46" s="54" t="s">
        <v>134</v>
      </c>
      <c r="D46" s="54" t="s">
        <v>149</v>
      </c>
      <c r="E46" s="54" t="s">
        <v>149</v>
      </c>
      <c r="F46" s="54" t="s">
        <v>149</v>
      </c>
      <c r="G46" s="58" t="s">
        <v>135</v>
      </c>
      <c r="H46" s="82"/>
    </row>
    <row r="47" spans="2:8" s="29" customFormat="1" ht="43.2" x14ac:dyDescent="0.3">
      <c r="B47" s="29">
        <v>38</v>
      </c>
      <c r="C47" s="54" t="s">
        <v>136</v>
      </c>
      <c r="D47" s="54" t="s">
        <v>149</v>
      </c>
      <c r="E47" s="54" t="s">
        <v>149</v>
      </c>
      <c r="F47" s="54" t="s">
        <v>149</v>
      </c>
      <c r="G47" s="58" t="s">
        <v>137</v>
      </c>
      <c r="H47" s="82"/>
    </row>
    <row r="48" spans="2:8" s="29" customFormat="1" ht="28.8" x14ac:dyDescent="0.3">
      <c r="B48" s="29">
        <v>39</v>
      </c>
      <c r="C48" s="54" t="s">
        <v>138</v>
      </c>
      <c r="D48" s="54" t="s">
        <v>149</v>
      </c>
      <c r="E48" s="54" t="s">
        <v>149</v>
      </c>
      <c r="F48" s="54" t="s">
        <v>149</v>
      </c>
      <c r="G48" s="58" t="s">
        <v>139</v>
      </c>
      <c r="H48" s="82"/>
    </row>
    <row r="49" spans="2:8" s="29" customFormat="1" ht="43.2" x14ac:dyDescent="0.3">
      <c r="B49" s="29">
        <v>40</v>
      </c>
      <c r="C49" s="54" t="s">
        <v>194</v>
      </c>
      <c r="D49" s="54" t="s">
        <v>149</v>
      </c>
      <c r="E49" s="54" t="s">
        <v>149</v>
      </c>
      <c r="F49" s="54" t="s">
        <v>149</v>
      </c>
      <c r="G49" s="61" t="s">
        <v>195</v>
      </c>
    </row>
    <row r="50" spans="2:8" s="29" customFormat="1" ht="28.8" x14ac:dyDescent="0.3">
      <c r="B50" s="29">
        <v>41</v>
      </c>
      <c r="C50" s="54" t="s">
        <v>140</v>
      </c>
      <c r="D50" s="54" t="s">
        <v>149</v>
      </c>
      <c r="E50" s="54" t="s">
        <v>149</v>
      </c>
      <c r="F50" s="54" t="s">
        <v>149</v>
      </c>
      <c r="G50" s="58" t="s">
        <v>141</v>
      </c>
      <c r="H50" s="82"/>
    </row>
    <row r="51" spans="2:8" s="29" customFormat="1" x14ac:dyDescent="0.3">
      <c r="B51" s="39"/>
      <c r="C51" s="100"/>
      <c r="D51" s="45"/>
      <c r="E51" s="45"/>
      <c r="F51" s="45"/>
      <c r="G51" s="39"/>
    </row>
    <row r="52" spans="2:8" s="29" customFormat="1" ht="43.2" x14ac:dyDescent="0.3">
      <c r="B52" s="42">
        <v>1</v>
      </c>
      <c r="C52" s="98" t="s">
        <v>291</v>
      </c>
      <c r="D52" s="41" t="s">
        <v>149</v>
      </c>
      <c r="E52" s="41" t="s">
        <v>149</v>
      </c>
      <c r="F52" s="41"/>
      <c r="G52" s="31" t="s">
        <v>292</v>
      </c>
    </row>
    <row r="53" spans="2:8" s="29" customFormat="1" ht="72" x14ac:dyDescent="0.3">
      <c r="B53" s="42">
        <v>2</v>
      </c>
      <c r="C53" s="82" t="s">
        <v>293</v>
      </c>
      <c r="D53" s="41" t="s">
        <v>149</v>
      </c>
      <c r="E53" s="41" t="s">
        <v>149</v>
      </c>
      <c r="F53" s="41"/>
      <c r="G53" s="129" t="s">
        <v>294</v>
      </c>
    </row>
    <row r="54" spans="2:8" s="29" customFormat="1" ht="43.2" x14ac:dyDescent="0.3">
      <c r="B54" s="29">
        <v>3</v>
      </c>
      <c r="C54" s="82" t="s">
        <v>295</v>
      </c>
      <c r="D54" s="41" t="s">
        <v>149</v>
      </c>
      <c r="E54" s="41" t="s">
        <v>149</v>
      </c>
      <c r="F54" s="41"/>
      <c r="G54" s="129" t="s">
        <v>296</v>
      </c>
    </row>
    <row r="55" spans="2:8" s="29" customFormat="1" ht="63" customHeight="1" x14ac:dyDescent="0.3">
      <c r="B55" s="42">
        <v>4</v>
      </c>
      <c r="C55" s="98" t="s">
        <v>297</v>
      </c>
      <c r="D55" s="41" t="s">
        <v>149</v>
      </c>
      <c r="E55" s="41" t="s">
        <v>149</v>
      </c>
      <c r="F55" s="41"/>
      <c r="G55" s="123" t="s">
        <v>298</v>
      </c>
    </row>
    <row r="56" spans="2:8" s="29" customFormat="1" ht="57.6" x14ac:dyDescent="0.3">
      <c r="B56" s="43">
        <v>5</v>
      </c>
      <c r="C56" s="119" t="s">
        <v>299</v>
      </c>
      <c r="D56" s="44"/>
      <c r="E56" s="44" t="s">
        <v>149</v>
      </c>
      <c r="F56" s="44" t="s">
        <v>149</v>
      </c>
      <c r="G56" s="133" t="s">
        <v>300</v>
      </c>
    </row>
    <row r="57" spans="2:8" s="29" customFormat="1" x14ac:dyDescent="0.3">
      <c r="B57" s="39"/>
      <c r="C57" s="100"/>
      <c r="D57" s="45"/>
      <c r="E57" s="45"/>
      <c r="F57" s="45"/>
      <c r="G57" s="45"/>
    </row>
    <row r="58" spans="2:8" s="29" customFormat="1" ht="27" customHeight="1" x14ac:dyDescent="0.3">
      <c r="B58" s="42">
        <v>1</v>
      </c>
      <c r="C58" s="98" t="s">
        <v>301</v>
      </c>
      <c r="D58" s="46"/>
      <c r="E58" s="46"/>
      <c r="F58" s="46" t="s">
        <v>149</v>
      </c>
      <c r="G58" s="3" t="s">
        <v>302</v>
      </c>
    </row>
    <row r="59" spans="2:8" s="29" customFormat="1" ht="57.6" x14ac:dyDescent="0.3">
      <c r="B59" s="43">
        <v>2</v>
      </c>
      <c r="C59" s="98" t="s">
        <v>303</v>
      </c>
      <c r="D59" s="47"/>
      <c r="E59" s="47"/>
      <c r="F59" s="47" t="s">
        <v>149</v>
      </c>
      <c r="G59" s="3" t="s">
        <v>304</v>
      </c>
    </row>
    <row r="60" spans="2:8" s="29" customFormat="1" x14ac:dyDescent="0.3">
      <c r="C60" s="3"/>
    </row>
    <row r="61" spans="2:8" s="29" customFormat="1" x14ac:dyDescent="0.3">
      <c r="C61" s="3"/>
    </row>
    <row r="62" spans="2:8" s="29" customFormat="1" x14ac:dyDescent="0.3">
      <c r="C62" s="3"/>
    </row>
    <row r="63" spans="2:8" s="29" customFormat="1" x14ac:dyDescent="0.3">
      <c r="C63" s="3"/>
    </row>
  </sheetData>
  <mergeCells count="2">
    <mergeCell ref="D3:F3"/>
    <mergeCell ref="C5:C6"/>
  </mergeCells>
  <conditionalFormatting sqref="C7">
    <cfRule type="duplicateValues" dxfId="2" priority="2"/>
  </conditionalFormatting>
  <hyperlinks>
    <hyperlink ref="C28" r:id="rId1" location="1652906579852-40d8e272-35bb" xr:uid="{2144EA3D-0355-4AB5-93CA-0530617C26DB}"/>
    <hyperlink ref="C27" r:id="rId2" location="1674938805376-f6c4abc5-cfda" xr:uid="{2C636372-8556-4539-BB3B-6D0B13291004}"/>
    <hyperlink ref="C26" r:id="rId3" location="1528240031207-3ce9866a-9863" xr:uid="{CC593125-8496-466C-85C6-C96483B57706}"/>
    <hyperlink ref="C44" r:id="rId4" location="1541780077723-c74e470e-b935" xr:uid="{19B0A017-CF70-43B5-AC0E-5A90F1BB3B65}"/>
    <hyperlink ref="C15" r:id="rId5" xr:uid="{BBE958F4-71FB-4317-875B-F858CC03A9DD}"/>
    <hyperlink ref="C33" r:id="rId6" location="1555105635499-a4507e58-10e9" xr:uid="{42B7D5BE-FCE2-42E8-B425-FFF1E470FA23}"/>
    <hyperlink ref="C25" r:id="rId7" xr:uid="{21627B11-0B54-4F6E-B113-6C71D4756897}"/>
    <hyperlink ref="C37" r:id="rId8" location="1542142398181-8db4844a-6760" xr:uid="{D275CDDE-64D0-4ABB-BE27-C6AAB7F4E7F3}"/>
    <hyperlink ref="C22" r:id="rId9" xr:uid="{13F4E483-A918-49EC-A2B8-814ADC0D5D01}"/>
    <hyperlink ref="C34" r:id="rId10" location="1570112075238-edc16f12-13da" xr:uid="{E731D43A-47E1-4479-AA1B-9437CD1CF76A}"/>
    <hyperlink ref="C31" r:id="rId11" location="1570112033454-be3581a4-383a" xr:uid="{5BDBD52B-B464-4A3A-A553-7E1463055EF1}"/>
    <hyperlink ref="C36" r:id="rId12" location="1570052538100-3c2cf7a3-8917" xr:uid="{2B903331-590E-4F43-9B8D-703D94992D06}"/>
    <hyperlink ref="C29" r:id="rId13" xr:uid="{8A496EF0-3BF3-4A47-8736-166EB08C92A7}"/>
    <hyperlink ref="C17" r:id="rId14" location="1559325573466-1284efd5-2d1b" xr:uid="{9ABC414A-83C7-48F8-9931-F2E65E93C056}"/>
    <hyperlink ref="C16" r:id="rId15" xr:uid="{FBF4F995-DDB6-45A0-8523-49DD2D5F21D5}"/>
    <hyperlink ref="C35" r:id="rId16" location="1570112099245-da4c67a5-4c35" xr:uid="{1BC08603-2B53-43C6-A26A-165F52BA120C}"/>
    <hyperlink ref="C32" r:id="rId17" xr:uid="{F1A95FD5-0EE0-48C4-B8F8-D558825E2614}"/>
    <hyperlink ref="C21" r:id="rId18" xr:uid="{AC3F84C4-11BF-4231-B3C0-48376A5D3F3E}"/>
    <hyperlink ref="C20" r:id="rId19" xr:uid="{9E69674B-AD9C-4EAA-96BC-1E657B15E1F9}"/>
    <hyperlink ref="C19" r:id="rId20" xr:uid="{17EBB727-51ED-4970-A02E-4B8E3AB7BEBE}"/>
    <hyperlink ref="C18" r:id="rId21" xr:uid="{9013797A-F1A0-40A5-9EB0-8E0810195DEE}"/>
    <hyperlink ref="C23" r:id="rId22" xr:uid="{BC2A1D9C-E5EB-45DB-84DC-3EC8364F2367}"/>
    <hyperlink ref="C30" r:id="rId23" location="1571412473853-2ed0b43f-287f" xr:uid="{78F37818-1AAF-4686-8074-925113095379}"/>
    <hyperlink ref="C11" r:id="rId24" xr:uid="{AF2419E6-5528-4DED-A293-4FDB33C6E5F4}"/>
    <hyperlink ref="C14" r:id="rId25" location="capacitacion" xr:uid="{EAB69216-CB0A-4A3D-A186-20EB564D1F7E}"/>
    <hyperlink ref="C10" r:id="rId26" xr:uid="{203F4716-5160-4986-B96D-718E22B77AA0}"/>
    <hyperlink ref="C53" r:id="rId27" location="1623281274865-df599d08-4b3c" xr:uid="{16A8CB17-A6F7-4C0C-8755-DB2F9CE40184}"/>
    <hyperlink ref="C52" r:id="rId28" location="1623281268015-fb939ea7-9dfb" xr:uid="{822080BF-210A-4216-BCD7-5EDB1B3245EF}"/>
    <hyperlink ref="C55" r:id="rId29" location="1542142298663-bee160b4-5362" xr:uid="{B83F7524-7B41-4CEF-A410-1C53FDAEBF8A}"/>
    <hyperlink ref="C54" r:id="rId30" location="1555105576411-b2abec85-7665" xr:uid="{FF67243D-21AF-462B-87DA-817547B5CDF9}"/>
    <hyperlink ref="C59" r:id="rId31" location="1541710775060-c48ed303-d21d" xr:uid="{BB446307-0219-4170-A2C7-A6E8D90108C1}"/>
    <hyperlink ref="C58" r:id="rId32" xr:uid="{C393C574-6A5C-4BED-B110-1BCE48688AB4}"/>
    <hyperlink ref="C56" r:id="rId33" xr:uid="{2F1A1066-A940-4D04-AA17-EDA9435293EA}"/>
  </hyperlinks>
  <pageMargins left="0.75" right="0.75" top="1" bottom="1" header="0.5" footer="0.5"/>
  <tableParts count="1">
    <tablePart r:id="rId3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4C79-AA3D-4F25-ABC3-4C5D255E508A}">
  <dimension ref="B1:I78"/>
  <sheetViews>
    <sheetView topLeftCell="A67" zoomScale="70" zoomScaleNormal="70" workbookViewId="0">
      <selection activeCell="M56" sqref="M56"/>
    </sheetView>
  </sheetViews>
  <sheetFormatPr baseColWidth="10" defaultColWidth="8.88671875" defaultRowHeight="14.4" x14ac:dyDescent="0.3"/>
  <cols>
    <col min="1" max="1" width="3.33203125" customWidth="1"/>
    <col min="2" max="2" width="6.109375" bestFit="1" customWidth="1"/>
    <col min="3" max="3" width="94.6640625" customWidth="1"/>
    <col min="4" max="8" width="15.44140625" style="21" customWidth="1"/>
    <col min="9" max="9" width="67.33203125" customWidth="1"/>
    <col min="10" max="10" width="5.88671875" customWidth="1"/>
  </cols>
  <sheetData>
    <row r="1" spans="3:8" s="29" customFormat="1" x14ac:dyDescent="0.3"/>
    <row r="2" spans="3:8" s="29" customFormat="1" x14ac:dyDescent="0.3"/>
    <row r="3" spans="3:8" s="29" customFormat="1" x14ac:dyDescent="0.3">
      <c r="C3" s="89" t="s">
        <v>94</v>
      </c>
      <c r="D3" s="48" t="s">
        <v>26</v>
      </c>
      <c r="E3" s="48" t="s">
        <v>27</v>
      </c>
      <c r="F3" s="48" t="s">
        <v>28</v>
      </c>
      <c r="G3" s="2" t="s">
        <v>29</v>
      </c>
      <c r="H3" s="92" t="s">
        <v>30</v>
      </c>
    </row>
    <row r="4" spans="3:8" s="29" customFormat="1" x14ac:dyDescent="0.3">
      <c r="C4" s="73" t="s">
        <v>305</v>
      </c>
      <c r="D4" s="152">
        <f>COUNTIF(Exentos16[URL],"*")</f>
        <v>49</v>
      </c>
      <c r="E4" s="156"/>
      <c r="F4" s="156"/>
      <c r="G4" s="156"/>
      <c r="H4" s="157"/>
    </row>
    <row r="5" spans="3:8" s="29" customFormat="1" x14ac:dyDescent="0.3">
      <c r="C5" s="73" t="s">
        <v>306</v>
      </c>
      <c r="D5" s="70">
        <v>24</v>
      </c>
      <c r="E5" s="70">
        <v>24</v>
      </c>
      <c r="F5" s="70">
        <v>24</v>
      </c>
      <c r="G5" s="70"/>
      <c r="H5" s="70">
        <v>24</v>
      </c>
    </row>
    <row r="6" spans="3:8" s="29" customFormat="1" x14ac:dyDescent="0.3">
      <c r="C6" s="158" t="s">
        <v>307</v>
      </c>
      <c r="D6" s="70">
        <v>3</v>
      </c>
      <c r="E6" s="70"/>
      <c r="F6" s="70">
        <v>3</v>
      </c>
      <c r="G6" s="70"/>
      <c r="H6" s="70">
        <v>3</v>
      </c>
    </row>
    <row r="7" spans="3:8" s="29" customFormat="1" x14ac:dyDescent="0.3">
      <c r="C7" s="159"/>
      <c r="D7" s="70">
        <v>1</v>
      </c>
      <c r="E7" s="70">
        <v>1</v>
      </c>
      <c r="F7" s="70"/>
      <c r="G7" s="70">
        <v>1</v>
      </c>
      <c r="H7" s="70"/>
    </row>
    <row r="8" spans="3:8" s="29" customFormat="1" x14ac:dyDescent="0.3">
      <c r="C8" s="159"/>
      <c r="D8" s="70">
        <v>1</v>
      </c>
      <c r="E8" s="70">
        <v>1</v>
      </c>
      <c r="F8" s="70">
        <v>1</v>
      </c>
      <c r="G8" s="70"/>
      <c r="H8" s="70"/>
    </row>
    <row r="9" spans="3:8" s="29" customFormat="1" x14ac:dyDescent="0.3">
      <c r="C9" s="158" t="s">
        <v>308</v>
      </c>
      <c r="D9" s="70"/>
      <c r="E9" s="70"/>
      <c r="F9" s="70">
        <v>1</v>
      </c>
      <c r="G9" s="70"/>
      <c r="H9" s="70">
        <v>1</v>
      </c>
    </row>
    <row r="10" spans="3:8" s="29" customFormat="1" x14ac:dyDescent="0.3">
      <c r="C10" s="159"/>
      <c r="D10" s="94"/>
      <c r="E10" s="94"/>
      <c r="F10" s="94">
        <v>2</v>
      </c>
      <c r="G10" s="94">
        <v>2</v>
      </c>
      <c r="H10" s="94"/>
    </row>
    <row r="11" spans="3:8" s="29" customFormat="1" x14ac:dyDescent="0.3">
      <c r="C11" s="159"/>
      <c r="D11" s="94"/>
      <c r="E11" s="94">
        <v>1</v>
      </c>
      <c r="F11" s="94">
        <v>1</v>
      </c>
      <c r="G11" s="94"/>
      <c r="H11" s="94"/>
    </row>
    <row r="12" spans="3:8" s="29" customFormat="1" x14ac:dyDescent="0.3">
      <c r="C12" s="160" t="s">
        <v>309</v>
      </c>
      <c r="D12" s="95"/>
      <c r="E12" s="60"/>
      <c r="F12" s="60">
        <v>1</v>
      </c>
      <c r="G12" s="60"/>
      <c r="H12" s="60"/>
    </row>
    <row r="13" spans="3:8" s="29" customFormat="1" x14ac:dyDescent="0.3">
      <c r="C13" s="160"/>
      <c r="D13" s="95"/>
      <c r="E13" s="60"/>
      <c r="F13" s="60"/>
      <c r="G13" s="60">
        <v>1</v>
      </c>
      <c r="H13" s="60"/>
    </row>
    <row r="14" spans="3:8" s="29" customFormat="1" x14ac:dyDescent="0.3">
      <c r="C14" s="160"/>
      <c r="D14" s="95"/>
      <c r="E14" s="60"/>
      <c r="F14" s="60">
        <v>1</v>
      </c>
      <c r="G14" s="60"/>
      <c r="H14" s="60"/>
    </row>
    <row r="15" spans="3:8" s="29" customFormat="1" x14ac:dyDescent="0.3">
      <c r="C15" s="160"/>
      <c r="D15" s="95"/>
      <c r="E15" s="60"/>
      <c r="F15" s="60"/>
      <c r="G15" s="60"/>
      <c r="H15" s="60">
        <v>2</v>
      </c>
    </row>
    <row r="16" spans="3:8" s="29" customFormat="1" x14ac:dyDescent="0.3">
      <c r="C16" s="160"/>
      <c r="D16" s="96"/>
      <c r="E16" s="97"/>
      <c r="F16" s="97">
        <v>1</v>
      </c>
      <c r="G16" s="97"/>
      <c r="H16" s="97"/>
    </row>
    <row r="17" spans="2:9" s="29" customFormat="1" x14ac:dyDescent="0.3">
      <c r="C17" s="160"/>
      <c r="D17" s="96"/>
      <c r="E17" s="97"/>
      <c r="F17" s="97"/>
      <c r="G17" s="97"/>
      <c r="H17" s="97">
        <v>2</v>
      </c>
    </row>
    <row r="18" spans="2:9" s="29" customFormat="1" x14ac:dyDescent="0.3">
      <c r="C18" s="160"/>
      <c r="D18" s="96"/>
      <c r="E18" s="97"/>
      <c r="F18" s="97"/>
      <c r="G18" s="97">
        <v>1</v>
      </c>
      <c r="H18" s="97"/>
    </row>
    <row r="19" spans="2:9" s="29" customFormat="1" x14ac:dyDescent="0.3">
      <c r="C19" s="160"/>
      <c r="D19" s="96"/>
      <c r="E19" s="97"/>
      <c r="F19" s="97">
        <v>1</v>
      </c>
      <c r="G19" s="97"/>
      <c r="H19" s="97"/>
    </row>
    <row r="20" spans="2:9" s="29" customFormat="1" x14ac:dyDescent="0.3">
      <c r="C20" s="160"/>
      <c r="D20" s="96"/>
      <c r="E20" s="97"/>
      <c r="F20" s="97"/>
      <c r="G20" s="97"/>
      <c r="H20" s="97">
        <v>1</v>
      </c>
    </row>
    <row r="21" spans="2:9" s="29" customFormat="1" x14ac:dyDescent="0.3">
      <c r="C21" s="160"/>
      <c r="D21" s="96"/>
      <c r="E21" s="97"/>
      <c r="F21" s="97"/>
      <c r="G21" s="97">
        <v>1</v>
      </c>
      <c r="H21" s="97"/>
    </row>
    <row r="22" spans="2:9" s="29" customFormat="1" x14ac:dyDescent="0.3">
      <c r="C22" s="160"/>
      <c r="D22" s="96"/>
      <c r="E22" s="97"/>
      <c r="F22" s="97">
        <v>3</v>
      </c>
      <c r="G22" s="97"/>
      <c r="H22" s="97"/>
    </row>
    <row r="23" spans="2:9" s="29" customFormat="1" x14ac:dyDescent="0.3">
      <c r="C23" s="160"/>
      <c r="D23" s="95"/>
      <c r="E23" s="60">
        <v>1</v>
      </c>
      <c r="F23" s="60"/>
      <c r="G23" s="60"/>
      <c r="H23" s="60"/>
    </row>
    <row r="24" spans="2:9" s="29" customFormat="1" x14ac:dyDescent="0.3"/>
    <row r="25" spans="2:9" s="29" customFormat="1" x14ac:dyDescent="0.3">
      <c r="C25" s="29">
        <f>COUNTIF(Exentos16[URL],"*")</f>
        <v>49</v>
      </c>
      <c r="D25" s="29">
        <f>COUNTIF(Exentos16[Constitucionales],"SI")</f>
        <v>29</v>
      </c>
      <c r="E25" s="29">
        <f>COUNTIF(Exentos16[No Lucrativos],"SI")</f>
        <v>28</v>
      </c>
      <c r="F25" s="29">
        <f>COUNTIF(Exentos16[Decreto],"SI")</f>
        <v>39</v>
      </c>
      <c r="G25" s="29">
        <f>COUNTIF(Exentos16[ZOLIC],"SI")</f>
        <v>6</v>
      </c>
      <c r="H25" s="29">
        <f>COUNTIF(Exentos16[Municipalidades],"SI")</f>
        <v>33</v>
      </c>
    </row>
    <row r="26" spans="2:9" s="29" customFormat="1" x14ac:dyDescent="0.3">
      <c r="B26" s="2" t="s">
        <v>0</v>
      </c>
      <c r="C26" s="86" t="s">
        <v>96</v>
      </c>
      <c r="D26" s="2" t="s">
        <v>26</v>
      </c>
      <c r="E26" s="2" t="s">
        <v>27</v>
      </c>
      <c r="F26" s="2" t="s">
        <v>28</v>
      </c>
      <c r="G26" s="2" t="s">
        <v>29</v>
      </c>
      <c r="H26" s="2" t="s">
        <v>30</v>
      </c>
      <c r="I26" s="2" t="s">
        <v>97</v>
      </c>
    </row>
    <row r="27" spans="2:9" s="29" customFormat="1" ht="57.6" x14ac:dyDescent="0.3">
      <c r="B27" s="31">
        <v>1</v>
      </c>
      <c r="C27" s="82" t="s">
        <v>102</v>
      </c>
      <c r="D27" s="31" t="s">
        <v>149</v>
      </c>
      <c r="E27" s="31" t="s">
        <v>149</v>
      </c>
      <c r="F27" s="31" t="s">
        <v>149</v>
      </c>
      <c r="G27" s="31" t="s">
        <v>310</v>
      </c>
      <c r="H27" s="31" t="s">
        <v>149</v>
      </c>
      <c r="I27" s="58" t="s">
        <v>151</v>
      </c>
    </row>
    <row r="28" spans="2:9" s="29" customFormat="1" ht="43.2" x14ac:dyDescent="0.3">
      <c r="B28" s="31">
        <v>2</v>
      </c>
      <c r="C28" s="31" t="s">
        <v>156</v>
      </c>
      <c r="D28" s="31" t="s">
        <v>149</v>
      </c>
      <c r="E28" s="31" t="s">
        <v>149</v>
      </c>
      <c r="F28" s="31" t="s">
        <v>149</v>
      </c>
      <c r="G28" s="31" t="s">
        <v>310</v>
      </c>
      <c r="H28" s="31" t="s">
        <v>149</v>
      </c>
      <c r="I28" s="32" t="s">
        <v>203</v>
      </c>
    </row>
    <row r="29" spans="2:9" s="29" customFormat="1" ht="43.2" x14ac:dyDescent="0.3">
      <c r="B29" s="31">
        <v>3</v>
      </c>
      <c r="C29" s="31" t="s">
        <v>104</v>
      </c>
      <c r="D29" s="31" t="s">
        <v>149</v>
      </c>
      <c r="E29" s="31" t="s">
        <v>149</v>
      </c>
      <c r="F29" s="31" t="s">
        <v>149</v>
      </c>
      <c r="G29" s="31"/>
      <c r="H29" s="31" t="s">
        <v>149</v>
      </c>
      <c r="I29" s="58" t="s">
        <v>311</v>
      </c>
    </row>
    <row r="30" spans="2:9" s="29" customFormat="1" ht="43.2" x14ac:dyDescent="0.3">
      <c r="B30" s="31">
        <v>4</v>
      </c>
      <c r="C30" s="31" t="s">
        <v>161</v>
      </c>
      <c r="D30" s="31" t="s">
        <v>149</v>
      </c>
      <c r="E30" s="31" t="s">
        <v>149</v>
      </c>
      <c r="F30" s="31" t="s">
        <v>149</v>
      </c>
      <c r="G30" s="31" t="s">
        <v>310</v>
      </c>
      <c r="H30" s="31" t="s">
        <v>149</v>
      </c>
      <c r="I30" s="32" t="s">
        <v>207</v>
      </c>
    </row>
    <row r="31" spans="2:9" s="29" customFormat="1" ht="43.2" x14ac:dyDescent="0.3">
      <c r="B31" s="31">
        <v>5</v>
      </c>
      <c r="C31" s="82" t="s">
        <v>312</v>
      </c>
      <c r="D31" s="31" t="s">
        <v>149</v>
      </c>
      <c r="E31" s="31" t="s">
        <v>149</v>
      </c>
      <c r="F31" s="31" t="s">
        <v>149</v>
      </c>
      <c r="G31" s="31" t="s">
        <v>310</v>
      </c>
      <c r="H31" s="31" t="s">
        <v>149</v>
      </c>
      <c r="I31" s="31" t="s">
        <v>313</v>
      </c>
    </row>
    <row r="32" spans="2:9" s="29" customFormat="1" ht="28.8" x14ac:dyDescent="0.3">
      <c r="B32" s="31">
        <v>6</v>
      </c>
      <c r="C32" s="82" t="s">
        <v>314</v>
      </c>
      <c r="D32" s="31" t="s">
        <v>149</v>
      </c>
      <c r="E32" s="31" t="s">
        <v>149</v>
      </c>
      <c r="F32" s="31" t="s">
        <v>149</v>
      </c>
      <c r="G32" s="31" t="s">
        <v>310</v>
      </c>
      <c r="H32" s="31" t="s">
        <v>149</v>
      </c>
      <c r="I32" s="31" t="s">
        <v>315</v>
      </c>
    </row>
    <row r="33" spans="2:9" s="29" customFormat="1" ht="28.8" x14ac:dyDescent="0.3">
      <c r="B33" s="31">
        <v>7</v>
      </c>
      <c r="C33" s="31" t="s">
        <v>116</v>
      </c>
      <c r="D33" s="31" t="s">
        <v>149</v>
      </c>
      <c r="E33" s="31" t="s">
        <v>149</v>
      </c>
      <c r="F33" s="31" t="s">
        <v>149</v>
      </c>
      <c r="G33" s="31"/>
      <c r="H33" s="31" t="s">
        <v>149</v>
      </c>
      <c r="I33" s="58" t="s">
        <v>117</v>
      </c>
    </row>
    <row r="34" spans="2:9" s="29" customFormat="1" ht="43.2" x14ac:dyDescent="0.3">
      <c r="B34" s="31">
        <v>8</v>
      </c>
      <c r="C34" s="118" t="s">
        <v>237</v>
      </c>
      <c r="D34" s="31" t="s">
        <v>149</v>
      </c>
      <c r="E34" s="31" t="s">
        <v>149</v>
      </c>
      <c r="F34" s="31" t="s">
        <v>149</v>
      </c>
      <c r="G34" s="31"/>
      <c r="H34" s="31" t="s">
        <v>149</v>
      </c>
      <c r="I34" s="58" t="s">
        <v>262</v>
      </c>
    </row>
    <row r="35" spans="2:9" s="29" customFormat="1" ht="43.2" x14ac:dyDescent="0.3">
      <c r="B35" s="31">
        <v>9</v>
      </c>
      <c r="C35" s="82" t="s">
        <v>265</v>
      </c>
      <c r="D35" s="31" t="s">
        <v>149</v>
      </c>
      <c r="E35" s="31" t="s">
        <v>149</v>
      </c>
      <c r="F35" s="31" t="s">
        <v>149</v>
      </c>
      <c r="G35" s="31" t="s">
        <v>310</v>
      </c>
      <c r="H35" s="31" t="s">
        <v>149</v>
      </c>
      <c r="I35" s="125" t="s">
        <v>266</v>
      </c>
    </row>
    <row r="36" spans="2:9" s="29" customFormat="1" ht="43.2" x14ac:dyDescent="0.3">
      <c r="B36" s="31">
        <v>10</v>
      </c>
      <c r="C36" s="82" t="s">
        <v>269</v>
      </c>
      <c r="D36" s="31" t="s">
        <v>149</v>
      </c>
      <c r="E36" s="31" t="s">
        <v>149</v>
      </c>
      <c r="F36" s="31" t="s">
        <v>149</v>
      </c>
      <c r="G36" s="31" t="s">
        <v>310</v>
      </c>
      <c r="H36" s="31" t="s">
        <v>149</v>
      </c>
      <c r="I36" s="125" t="s">
        <v>270</v>
      </c>
    </row>
    <row r="37" spans="2:9" s="29" customFormat="1" ht="57.6" x14ac:dyDescent="0.3">
      <c r="B37" s="31">
        <v>11</v>
      </c>
      <c r="C37" s="82" t="s">
        <v>316</v>
      </c>
      <c r="D37" s="31" t="s">
        <v>149</v>
      </c>
      <c r="E37" s="31" t="s">
        <v>149</v>
      </c>
      <c r="F37" s="31" t="s">
        <v>149</v>
      </c>
      <c r="G37" s="31"/>
      <c r="H37" s="31" t="s">
        <v>149</v>
      </c>
      <c r="I37" s="31" t="s">
        <v>317</v>
      </c>
    </row>
    <row r="38" spans="2:9" s="29" customFormat="1" ht="43.2" x14ac:dyDescent="0.3">
      <c r="B38" s="31">
        <v>12</v>
      </c>
      <c r="C38" s="98" t="s">
        <v>318</v>
      </c>
      <c r="D38" s="31" t="s">
        <v>149</v>
      </c>
      <c r="E38" s="31" t="s">
        <v>149</v>
      </c>
      <c r="F38" s="31" t="s">
        <v>149</v>
      </c>
      <c r="G38" s="31"/>
      <c r="H38" s="31" t="s">
        <v>149</v>
      </c>
      <c r="I38" s="31" t="s">
        <v>319</v>
      </c>
    </row>
    <row r="39" spans="2:9" s="29" customFormat="1" ht="28.8" x14ac:dyDescent="0.3">
      <c r="B39" s="31">
        <v>13</v>
      </c>
      <c r="C39" s="31" t="s">
        <v>184</v>
      </c>
      <c r="D39" s="31" t="s">
        <v>149</v>
      </c>
      <c r="E39" s="31" t="s">
        <v>149</v>
      </c>
      <c r="F39" s="31" t="s">
        <v>149</v>
      </c>
      <c r="G39" s="31"/>
      <c r="H39" s="31" t="s">
        <v>149</v>
      </c>
      <c r="I39" s="31" t="s">
        <v>185</v>
      </c>
    </row>
    <row r="40" spans="2:9" s="29" customFormat="1" ht="43.2" x14ac:dyDescent="0.3">
      <c r="B40" s="31">
        <v>14</v>
      </c>
      <c r="C40" s="118" t="s">
        <v>320</v>
      </c>
      <c r="D40" s="31" t="s">
        <v>149</v>
      </c>
      <c r="E40" s="31" t="s">
        <v>149</v>
      </c>
      <c r="F40" s="31" t="s">
        <v>149</v>
      </c>
      <c r="G40" s="31"/>
      <c r="H40" s="31" t="s">
        <v>149</v>
      </c>
      <c r="I40" s="58" t="s">
        <v>321</v>
      </c>
    </row>
    <row r="41" spans="2:9" s="29" customFormat="1" ht="43.2" x14ac:dyDescent="0.3">
      <c r="B41" s="31">
        <v>15</v>
      </c>
      <c r="C41" s="31" t="s">
        <v>182</v>
      </c>
      <c r="D41" s="31" t="s">
        <v>149</v>
      </c>
      <c r="E41" s="31" t="s">
        <v>149</v>
      </c>
      <c r="F41" s="31" t="s">
        <v>149</v>
      </c>
      <c r="G41" s="31" t="s">
        <v>310</v>
      </c>
      <c r="H41" s="31" t="s">
        <v>149</v>
      </c>
      <c r="I41" s="31" t="s">
        <v>183</v>
      </c>
    </row>
    <row r="42" spans="2:9" s="29" customFormat="1" ht="28.8" x14ac:dyDescent="0.3">
      <c r="B42" s="31">
        <v>16</v>
      </c>
      <c r="C42" s="82" t="s">
        <v>188</v>
      </c>
      <c r="D42" s="31" t="s">
        <v>149</v>
      </c>
      <c r="E42" s="31" t="s">
        <v>149</v>
      </c>
      <c r="F42" s="31" t="s">
        <v>149</v>
      </c>
      <c r="G42" s="31"/>
      <c r="H42" s="31" t="s">
        <v>149</v>
      </c>
      <c r="I42" s="61" t="s">
        <v>189</v>
      </c>
    </row>
    <row r="43" spans="2:9" s="29" customFormat="1" ht="43.2" x14ac:dyDescent="0.3">
      <c r="B43" s="31">
        <v>17</v>
      </c>
      <c r="C43" s="31" t="s">
        <v>186</v>
      </c>
      <c r="D43" s="31" t="s">
        <v>149</v>
      </c>
      <c r="E43" s="31" t="s">
        <v>149</v>
      </c>
      <c r="F43" s="31" t="s">
        <v>149</v>
      </c>
      <c r="G43" s="31"/>
      <c r="H43" s="31" t="s">
        <v>149</v>
      </c>
      <c r="I43" s="61" t="s">
        <v>187</v>
      </c>
    </row>
    <row r="44" spans="2:9" s="29" customFormat="1" ht="28.8" x14ac:dyDescent="0.3">
      <c r="B44" s="31">
        <v>18</v>
      </c>
      <c r="C44" s="31" t="s">
        <v>196</v>
      </c>
      <c r="D44" s="31" t="s">
        <v>149</v>
      </c>
      <c r="E44" s="31" t="s">
        <v>149</v>
      </c>
      <c r="F44" s="31" t="s">
        <v>149</v>
      </c>
      <c r="G44" s="31"/>
      <c r="H44" s="31" t="s">
        <v>149</v>
      </c>
      <c r="I44" s="31" t="s">
        <v>197</v>
      </c>
    </row>
    <row r="45" spans="2:9" s="29" customFormat="1" ht="43.2" x14ac:dyDescent="0.3">
      <c r="B45" s="31">
        <v>19</v>
      </c>
      <c r="C45" s="118" t="s">
        <v>130</v>
      </c>
      <c r="D45" s="31" t="s">
        <v>149</v>
      </c>
      <c r="E45" s="31" t="s">
        <v>149</v>
      </c>
      <c r="F45" s="31" t="s">
        <v>149</v>
      </c>
      <c r="G45" s="31" t="s">
        <v>310</v>
      </c>
      <c r="H45" s="31" t="s">
        <v>149</v>
      </c>
      <c r="I45" s="126" t="s">
        <v>322</v>
      </c>
    </row>
    <row r="46" spans="2:9" s="29" customFormat="1" ht="28.8" x14ac:dyDescent="0.3">
      <c r="B46" s="31">
        <v>20</v>
      </c>
      <c r="C46" s="31" t="s">
        <v>138</v>
      </c>
      <c r="D46" s="31" t="s">
        <v>149</v>
      </c>
      <c r="E46" s="31" t="s">
        <v>149</v>
      </c>
      <c r="F46" s="31" t="s">
        <v>149</v>
      </c>
      <c r="G46" s="31"/>
      <c r="H46" s="31" t="s">
        <v>149</v>
      </c>
      <c r="I46" s="58" t="s">
        <v>139</v>
      </c>
    </row>
    <row r="47" spans="2:9" s="29" customFormat="1" ht="43.2" x14ac:dyDescent="0.3">
      <c r="B47" s="31">
        <v>21</v>
      </c>
      <c r="C47" s="31" t="s">
        <v>134</v>
      </c>
      <c r="D47" s="31" t="s">
        <v>149</v>
      </c>
      <c r="E47" s="31" t="s">
        <v>149</v>
      </c>
      <c r="F47" s="31" t="s">
        <v>149</v>
      </c>
      <c r="G47" s="31" t="s">
        <v>310</v>
      </c>
      <c r="H47" s="31" t="s">
        <v>149</v>
      </c>
      <c r="I47" s="58" t="s">
        <v>135</v>
      </c>
    </row>
    <row r="48" spans="2:9" s="29" customFormat="1" ht="43.2" x14ac:dyDescent="0.3">
      <c r="B48" s="31">
        <v>22</v>
      </c>
      <c r="C48" s="31" t="s">
        <v>194</v>
      </c>
      <c r="D48" s="31" t="s">
        <v>149</v>
      </c>
      <c r="E48" s="31" t="s">
        <v>149</v>
      </c>
      <c r="F48" s="31" t="s">
        <v>149</v>
      </c>
      <c r="G48" s="31"/>
      <c r="H48" s="31" t="s">
        <v>149</v>
      </c>
      <c r="I48" s="61" t="s">
        <v>195</v>
      </c>
    </row>
    <row r="49" spans="2:9" s="29" customFormat="1" ht="72" x14ac:dyDescent="0.3">
      <c r="B49" s="31">
        <v>23</v>
      </c>
      <c r="C49" s="31" t="s">
        <v>192</v>
      </c>
      <c r="D49" s="31" t="s">
        <v>149</v>
      </c>
      <c r="E49" s="31" t="s">
        <v>149</v>
      </c>
      <c r="F49" s="31" t="s">
        <v>149</v>
      </c>
      <c r="G49" s="31" t="s">
        <v>310</v>
      </c>
      <c r="H49" s="31" t="s">
        <v>149</v>
      </c>
      <c r="I49" s="61" t="s">
        <v>193</v>
      </c>
    </row>
    <row r="50" spans="2:9" s="29" customFormat="1" ht="43.2" x14ac:dyDescent="0.3">
      <c r="B50" s="31">
        <v>24</v>
      </c>
      <c r="C50" s="31" t="s">
        <v>132</v>
      </c>
      <c r="D50" s="31" t="s">
        <v>149</v>
      </c>
      <c r="E50" s="31" t="s">
        <v>149</v>
      </c>
      <c r="F50" s="31" t="s">
        <v>149</v>
      </c>
      <c r="G50" s="31" t="s">
        <v>310</v>
      </c>
      <c r="H50" s="31" t="s">
        <v>149</v>
      </c>
      <c r="I50" s="58" t="s">
        <v>133</v>
      </c>
    </row>
    <row r="51" spans="2:9" s="29" customFormat="1" x14ac:dyDescent="0.3">
      <c r="B51" s="37"/>
      <c r="C51" s="37"/>
      <c r="D51" s="37"/>
      <c r="E51" s="37"/>
      <c r="F51" s="37"/>
      <c r="G51" s="37"/>
      <c r="H51" s="37"/>
      <c r="I51" s="37"/>
    </row>
    <row r="52" spans="2:9" s="29" customFormat="1" ht="43.2" x14ac:dyDescent="0.3">
      <c r="B52" s="29">
        <v>1</v>
      </c>
      <c r="C52" s="38" t="s">
        <v>152</v>
      </c>
      <c r="D52" s="38" t="s">
        <v>149</v>
      </c>
      <c r="E52" s="38" t="s">
        <v>310</v>
      </c>
      <c r="F52" s="38" t="s">
        <v>149</v>
      </c>
      <c r="G52" s="38" t="s">
        <v>310</v>
      </c>
      <c r="H52" s="38" t="s">
        <v>149</v>
      </c>
      <c r="I52" s="134" t="s">
        <v>323</v>
      </c>
    </row>
    <row r="53" spans="2:9" s="29" customFormat="1" ht="32.25" customHeight="1" x14ac:dyDescent="0.3">
      <c r="B53" s="29">
        <v>2</v>
      </c>
      <c r="C53" s="98" t="s">
        <v>212</v>
      </c>
      <c r="D53" s="38" t="s">
        <v>149</v>
      </c>
      <c r="E53" s="38"/>
      <c r="F53" s="38" t="s">
        <v>149</v>
      </c>
      <c r="G53" s="38"/>
      <c r="H53" s="38" t="s">
        <v>149</v>
      </c>
      <c r="I53" s="58" t="s">
        <v>256</v>
      </c>
    </row>
    <row r="54" spans="2:9" s="29" customFormat="1" ht="43.5" customHeight="1" x14ac:dyDescent="0.3">
      <c r="B54" s="29">
        <v>3</v>
      </c>
      <c r="C54" s="38" t="s">
        <v>214</v>
      </c>
      <c r="D54" s="38" t="s">
        <v>149</v>
      </c>
      <c r="E54" s="38"/>
      <c r="F54" s="38" t="s">
        <v>149</v>
      </c>
      <c r="G54" s="38"/>
      <c r="H54" s="38" t="s">
        <v>149</v>
      </c>
      <c r="I54" s="58" t="s">
        <v>257</v>
      </c>
    </row>
    <row r="55" spans="2:9" s="29" customFormat="1" ht="97.5" customHeight="1" x14ac:dyDescent="0.3">
      <c r="B55" s="29">
        <v>4</v>
      </c>
      <c r="C55" s="3" t="s">
        <v>124</v>
      </c>
      <c r="D55" s="3" t="s">
        <v>149</v>
      </c>
      <c r="E55" s="3" t="s">
        <v>149</v>
      </c>
      <c r="F55" s="3"/>
      <c r="G55" s="3" t="s">
        <v>149</v>
      </c>
      <c r="H55" s="3"/>
      <c r="I55" s="58" t="s">
        <v>125</v>
      </c>
    </row>
    <row r="56" spans="2:9" s="29" customFormat="1" ht="89.25" customHeight="1" x14ac:dyDescent="0.3">
      <c r="B56" s="29">
        <v>5</v>
      </c>
      <c r="C56" s="82" t="s">
        <v>289</v>
      </c>
      <c r="D56" s="38" t="s">
        <v>149</v>
      </c>
      <c r="E56" s="38" t="s">
        <v>149</v>
      </c>
      <c r="F56" s="38" t="s">
        <v>149</v>
      </c>
      <c r="G56" s="38" t="s">
        <v>310</v>
      </c>
      <c r="H56" s="38" t="s">
        <v>310</v>
      </c>
      <c r="I56" s="125" t="s">
        <v>290</v>
      </c>
    </row>
    <row r="57" spans="2:9" s="29" customFormat="1" x14ac:dyDescent="0.3">
      <c r="B57" s="37"/>
      <c r="C57" s="37"/>
      <c r="D57" s="37"/>
      <c r="E57" s="37"/>
      <c r="F57" s="37"/>
      <c r="G57" s="37"/>
      <c r="H57" s="37"/>
      <c r="I57" s="37"/>
    </row>
    <row r="58" spans="2:9" s="29" customFormat="1" ht="86.25" customHeight="1" x14ac:dyDescent="0.3">
      <c r="B58" s="29">
        <v>1</v>
      </c>
      <c r="C58" s="76" t="s">
        <v>324</v>
      </c>
      <c r="F58" s="29" t="s">
        <v>149</v>
      </c>
      <c r="H58" s="29" t="s">
        <v>149</v>
      </c>
      <c r="I58" s="121" t="s">
        <v>325</v>
      </c>
    </row>
    <row r="59" spans="2:9" s="29" customFormat="1" ht="86.25" customHeight="1" x14ac:dyDescent="0.3">
      <c r="B59" s="3">
        <v>2</v>
      </c>
      <c r="C59" s="74" t="s">
        <v>326</v>
      </c>
      <c r="D59" s="3"/>
      <c r="E59" s="3"/>
      <c r="F59" s="3" t="s">
        <v>149</v>
      </c>
      <c r="G59" s="3" t="s">
        <v>149</v>
      </c>
      <c r="H59" s="3"/>
      <c r="I59" s="3" t="s">
        <v>327</v>
      </c>
    </row>
    <row r="60" spans="2:9" s="29" customFormat="1" ht="81" customHeight="1" x14ac:dyDescent="0.3">
      <c r="B60" s="29">
        <v>3</v>
      </c>
      <c r="C60" s="76" t="s">
        <v>328</v>
      </c>
      <c r="F60" s="29" t="s">
        <v>149</v>
      </c>
      <c r="G60" s="29" t="s">
        <v>149</v>
      </c>
      <c r="I60" s="32" t="s">
        <v>329</v>
      </c>
    </row>
    <row r="61" spans="2:9" s="29" customFormat="1" ht="91.5" customHeight="1" x14ac:dyDescent="0.3">
      <c r="B61" s="3">
        <v>4</v>
      </c>
      <c r="C61" s="3" t="s">
        <v>126</v>
      </c>
      <c r="D61" s="3"/>
      <c r="E61" s="3" t="s">
        <v>149</v>
      </c>
      <c r="F61" s="3" t="s">
        <v>149</v>
      </c>
      <c r="G61" s="3"/>
      <c r="H61" s="3"/>
      <c r="I61" s="58" t="s">
        <v>127</v>
      </c>
    </row>
    <row r="62" spans="2:9" s="29" customFormat="1" x14ac:dyDescent="0.3">
      <c r="B62" s="37"/>
      <c r="C62" s="37"/>
      <c r="D62" s="37"/>
      <c r="E62" s="37"/>
      <c r="F62" s="37"/>
      <c r="G62" s="37"/>
      <c r="H62" s="37"/>
      <c r="I62" s="37"/>
    </row>
    <row r="63" spans="2:9" s="29" customFormat="1" ht="43.2" x14ac:dyDescent="0.3">
      <c r="B63" s="3">
        <v>1</v>
      </c>
      <c r="C63" s="3" t="s">
        <v>330</v>
      </c>
      <c r="D63" s="3"/>
      <c r="E63" s="3"/>
      <c r="F63" s="3" t="s">
        <v>149</v>
      </c>
      <c r="G63" s="3"/>
      <c r="H63" s="3"/>
      <c r="I63" s="32" t="s">
        <v>331</v>
      </c>
    </row>
    <row r="64" spans="2:9" s="29" customFormat="1" ht="43.2" x14ac:dyDescent="0.3">
      <c r="B64" s="3">
        <v>2</v>
      </c>
      <c r="C64" s="3" t="s">
        <v>332</v>
      </c>
      <c r="D64" s="3"/>
      <c r="E64" s="3"/>
      <c r="F64" s="3"/>
      <c r="G64" s="3" t="s">
        <v>149</v>
      </c>
      <c r="H64" s="3"/>
      <c r="I64" s="32" t="s">
        <v>333</v>
      </c>
    </row>
    <row r="65" spans="2:9" s="29" customFormat="1" ht="100.8" x14ac:dyDescent="0.3">
      <c r="B65" s="3">
        <v>3</v>
      </c>
      <c r="C65" s="3" t="s">
        <v>252</v>
      </c>
      <c r="D65" s="3"/>
      <c r="E65" s="3"/>
      <c r="F65" s="3" t="s">
        <v>149</v>
      </c>
      <c r="G65" s="3"/>
      <c r="H65" s="3"/>
      <c r="I65" s="124" t="s">
        <v>334</v>
      </c>
    </row>
    <row r="66" spans="2:9" s="29" customFormat="1" ht="43.2" x14ac:dyDescent="0.3">
      <c r="B66" s="3">
        <v>4</v>
      </c>
      <c r="C66" s="82" t="s">
        <v>210</v>
      </c>
      <c r="D66" s="3"/>
      <c r="E66" s="3"/>
      <c r="F66" s="3"/>
      <c r="G66" s="3"/>
      <c r="H66" s="3" t="s">
        <v>149</v>
      </c>
      <c r="I66" s="32" t="s">
        <v>211</v>
      </c>
    </row>
    <row r="67" spans="2:9" s="29" customFormat="1" ht="59.25" customHeight="1" x14ac:dyDescent="0.3">
      <c r="B67" s="3">
        <v>5</v>
      </c>
      <c r="C67" s="3" t="s">
        <v>110</v>
      </c>
      <c r="D67" s="3"/>
      <c r="E67" s="3"/>
      <c r="F67" s="3"/>
      <c r="G67" s="3"/>
      <c r="H67" s="3" t="s">
        <v>149</v>
      </c>
      <c r="I67" s="58" t="s">
        <v>111</v>
      </c>
    </row>
    <row r="68" spans="2:9" s="29" customFormat="1" ht="72" x14ac:dyDescent="0.3">
      <c r="B68" s="3">
        <v>6</v>
      </c>
      <c r="C68" s="3" t="s">
        <v>335</v>
      </c>
      <c r="D68" s="3"/>
      <c r="E68" s="3"/>
      <c r="F68" s="3" t="s">
        <v>149</v>
      </c>
      <c r="G68" s="3"/>
      <c r="H68" s="3"/>
      <c r="I68" s="124" t="s">
        <v>336</v>
      </c>
    </row>
    <row r="69" spans="2:9" s="29" customFormat="1" ht="43.2" x14ac:dyDescent="0.3">
      <c r="B69" s="3">
        <v>7</v>
      </c>
      <c r="C69" s="3" t="s">
        <v>234</v>
      </c>
      <c r="D69" s="3"/>
      <c r="E69" s="3"/>
      <c r="F69" s="3"/>
      <c r="G69" s="3"/>
      <c r="H69" s="3" t="s">
        <v>149</v>
      </c>
      <c r="I69" s="132" t="s">
        <v>337</v>
      </c>
    </row>
    <row r="70" spans="2:9" s="29" customFormat="1" ht="43.2" x14ac:dyDescent="0.3">
      <c r="B70" s="3">
        <v>8</v>
      </c>
      <c r="C70" s="3" t="s">
        <v>114</v>
      </c>
      <c r="D70" s="3"/>
      <c r="E70" s="3"/>
      <c r="F70" s="3"/>
      <c r="G70" s="3"/>
      <c r="H70" s="3" t="s">
        <v>149</v>
      </c>
      <c r="I70" s="124" t="s">
        <v>338</v>
      </c>
    </row>
    <row r="71" spans="2:9" s="29" customFormat="1" ht="43.2" x14ac:dyDescent="0.3">
      <c r="B71" s="3">
        <v>9</v>
      </c>
      <c r="C71" s="3" t="s">
        <v>339</v>
      </c>
      <c r="D71" s="3"/>
      <c r="E71" s="3"/>
      <c r="F71" s="3"/>
      <c r="G71" s="3" t="s">
        <v>149</v>
      </c>
      <c r="H71" s="3"/>
      <c r="I71" s="32" t="s">
        <v>340</v>
      </c>
    </row>
    <row r="72" spans="2:9" s="29" customFormat="1" ht="43.2" x14ac:dyDescent="0.3">
      <c r="B72" s="3">
        <v>10</v>
      </c>
      <c r="C72" s="74" t="s">
        <v>263</v>
      </c>
      <c r="D72" s="3"/>
      <c r="E72" s="3"/>
      <c r="F72" s="3" t="s">
        <v>149</v>
      </c>
      <c r="G72" s="3"/>
      <c r="H72" s="3"/>
      <c r="I72" s="58" t="s">
        <v>264</v>
      </c>
    </row>
    <row r="73" spans="2:9" s="29" customFormat="1" ht="43.2" x14ac:dyDescent="0.3">
      <c r="B73" s="3">
        <v>11</v>
      </c>
      <c r="C73" s="3" t="s">
        <v>267</v>
      </c>
      <c r="D73" s="3"/>
      <c r="E73" s="3"/>
      <c r="F73" s="3"/>
      <c r="G73" s="3"/>
      <c r="H73" s="3" t="s">
        <v>149</v>
      </c>
      <c r="I73" s="31" t="s">
        <v>268</v>
      </c>
    </row>
    <row r="74" spans="2:9" s="29" customFormat="1" ht="43.2" x14ac:dyDescent="0.3">
      <c r="B74" s="3">
        <v>12</v>
      </c>
      <c r="C74" s="74" t="s">
        <v>341</v>
      </c>
      <c r="D74" s="3"/>
      <c r="E74" s="3"/>
      <c r="F74" s="3"/>
      <c r="G74" s="3" t="s">
        <v>149</v>
      </c>
      <c r="H74" s="3"/>
      <c r="I74" s="32" t="s">
        <v>342</v>
      </c>
    </row>
    <row r="75" spans="2:9" s="29" customFormat="1" ht="57.6" x14ac:dyDescent="0.3">
      <c r="B75" s="3">
        <v>13</v>
      </c>
      <c r="C75" s="3" t="s">
        <v>277</v>
      </c>
      <c r="D75" s="3"/>
      <c r="E75" s="3"/>
      <c r="F75" s="3" t="s">
        <v>149</v>
      </c>
      <c r="G75" s="3"/>
      <c r="H75" s="3"/>
      <c r="I75" s="58" t="s">
        <v>343</v>
      </c>
    </row>
    <row r="76" spans="2:9" s="29" customFormat="1" ht="57.6" x14ac:dyDescent="0.3">
      <c r="B76" s="3">
        <v>14</v>
      </c>
      <c r="C76" s="3" t="s">
        <v>344</v>
      </c>
      <c r="D76" s="3"/>
      <c r="E76" s="3"/>
      <c r="F76" s="3" t="s">
        <v>149</v>
      </c>
      <c r="G76" s="3"/>
      <c r="H76" s="3"/>
      <c r="I76" s="32" t="s">
        <v>345</v>
      </c>
    </row>
    <row r="77" spans="2:9" s="29" customFormat="1" ht="95.25" customHeight="1" x14ac:dyDescent="0.3">
      <c r="B77" s="3">
        <v>15</v>
      </c>
      <c r="C77" s="74" t="s">
        <v>346</v>
      </c>
      <c r="D77" s="3"/>
      <c r="E77" s="3"/>
      <c r="F77" s="3" t="s">
        <v>149</v>
      </c>
      <c r="G77" s="3"/>
      <c r="H77" s="3"/>
      <c r="I77" s="32" t="s">
        <v>347</v>
      </c>
    </row>
    <row r="78" spans="2:9" s="29" customFormat="1" ht="57.6" x14ac:dyDescent="0.3">
      <c r="B78" s="3">
        <v>16</v>
      </c>
      <c r="C78" s="74" t="s">
        <v>348</v>
      </c>
      <c r="D78" s="3"/>
      <c r="E78" s="3" t="s">
        <v>149</v>
      </c>
      <c r="F78" s="3"/>
      <c r="G78" s="3"/>
      <c r="H78" s="3"/>
      <c r="I78" s="32" t="s">
        <v>349</v>
      </c>
    </row>
  </sheetData>
  <mergeCells count="4">
    <mergeCell ref="D4:H4"/>
    <mergeCell ref="C6:C8"/>
    <mergeCell ref="C9:C11"/>
    <mergeCell ref="C12:C23"/>
  </mergeCells>
  <conditionalFormatting sqref="C71">
    <cfRule type="duplicateValues" dxfId="1" priority="1"/>
  </conditionalFormatting>
  <conditionalFormatting sqref="C95:C1048576 C1:C2 C62 C4:C10 C12:C14 C25:C26 B51:C51">
    <cfRule type="duplicateValues" dxfId="0" priority="2"/>
  </conditionalFormatting>
  <hyperlinks>
    <hyperlink ref="C58" r:id="rId1" xr:uid="{DDACF1BB-7D12-48EB-B967-2F3D271E8F69}"/>
    <hyperlink ref="C60" r:id="rId2" xr:uid="{22DE277B-93FC-472C-88D2-0DC62289459D}"/>
    <hyperlink ref="C69" r:id="rId3" xr:uid="{860A2B41-0B00-4092-B874-03631736C7DD}"/>
    <hyperlink ref="C66" r:id="rId4" xr:uid="{F4EA0E64-59F6-49BF-BB73-69D03A2DD7C8}"/>
    <hyperlink ref="C73" r:id="rId5" location="1674938805376-f6c4abc5-cfda" display="https://portal.sat.gob.gt/portal/preguntas-frecuentes/cumplimiento-tributario/ - 1674938805376-f6c4abc5-cfda" xr:uid="{BE81BE47-7B3F-49C4-8968-17DE80366837}"/>
    <hyperlink ref="C67" r:id="rId6" xr:uid="{40B32F5C-DD85-4646-85CD-EB79AD3373B9}"/>
    <hyperlink ref="C64" r:id="rId7" xr:uid="{30D0D08B-AD1B-4C5E-8476-D9EE8E7B0E5A}"/>
    <hyperlink ref="C74" r:id="rId8" location="1712605946821-b4e512b4-6c69" xr:uid="{C7739CAF-5911-4E6F-9C55-D9151556BC69}"/>
    <hyperlink ref="C75" r:id="rId9" xr:uid="{92697506-AC5F-4344-B22B-B7BB6BF98E92}"/>
    <hyperlink ref="C71" r:id="rId10" xr:uid="{7375B815-C756-4F31-A47B-BC2EC6902426}"/>
    <hyperlink ref="C77" r:id="rId11" xr:uid="{CE3F3B1B-6219-404C-B16A-49F73CC9B088}"/>
    <hyperlink ref="C72" r:id="rId12" xr:uid="{C241CC03-D7BC-4EA0-A858-FFA2FF96F70A}"/>
    <hyperlink ref="C63" r:id="rId13" xr:uid="{93CDC2BA-3546-45D2-94C3-831D71694F7F}"/>
    <hyperlink ref="C68" r:id="rId14" xr:uid="{92090650-DFD7-4AEA-8AAD-81CC555D9439}"/>
    <hyperlink ref="C65" r:id="rId15" xr:uid="{4E70C657-5498-4192-913C-8ABAA2BC91DA}"/>
    <hyperlink ref="C78" r:id="rId16" location="1541698042332-5a32c823-6bb4" xr:uid="{398E9059-1A57-450B-AB7B-2A5D7C7C4456}"/>
    <hyperlink ref="C27" r:id="rId17" xr:uid="{EDC7D2FC-6628-446F-9CA4-65F3BE4F7317}"/>
    <hyperlink ref="C31" r:id="rId18" xr:uid="{2A1C80F3-9A83-4166-82BA-533C50CF1861}"/>
    <hyperlink ref="C35" r:id="rId19" location="1528240031207-3ce9866a-9863" xr:uid="{5650682F-C382-4CAD-AA7B-7C95F81B254F}"/>
    <hyperlink ref="C36" r:id="rId20" location="1652906579852-40d8e272-35bb" xr:uid="{C2E38F46-67AA-44CC-9802-065ACF0AE4E2}"/>
    <hyperlink ref="C37" r:id="rId21" xr:uid="{1D73B95E-2F84-45D4-A6BD-71737AF40BB2}"/>
    <hyperlink ref="C42" r:id="rId22" location="1606494573178-22f9effd-91cc" xr:uid="{2B523178-2AA4-47E7-8BE2-ACF5A72B69B9}"/>
    <hyperlink ref="C48" r:id="rId23" location="1642106578727-c83d17c4-34da" xr:uid="{00775DB7-B191-4B74-B2E6-50477C506DED}"/>
    <hyperlink ref="C32" r:id="rId24" xr:uid="{B3F18843-D282-4EB4-B4E3-5C43210118F8}"/>
    <hyperlink ref="C38" r:id="rId25" location="1541778875468-83ddfd67-082d" xr:uid="{15BC46C1-3DEB-400A-A988-444BC29F1F96}"/>
    <hyperlink ref="C55" r:id="rId26" location="1541621044169-4198d06d-693f" xr:uid="{F8E5A37C-3CEE-4C12-B80D-1EBEB93A6F93}"/>
    <hyperlink ref="C61" r:id="rId27" location="1615485066841-639e67c5-51e3" xr:uid="{F5EE4844-BC7C-4624-B62B-74B75A5B2BE6}"/>
    <hyperlink ref="C34" r:id="rId28" xr:uid="{EF4AF8DE-1CEB-40CF-8725-1EC0DD1F0C4C}"/>
    <hyperlink ref="C45" r:id="rId29" location="1541722263760-bed533a1-d75d" xr:uid="{A3569EA6-6AD6-46B9-990E-DD4504F1AE03}"/>
    <hyperlink ref="C40" r:id="rId30" xr:uid="{0BCF0E4E-4929-4735-8C42-2D54ECBA5BC0}"/>
    <hyperlink ref="C59" r:id="rId31" xr:uid="{954431C9-1875-4AA4-8A5F-5D92DAD4C933}"/>
    <hyperlink ref="C76" r:id="rId32" xr:uid="{A48B61D0-D62B-4156-B237-B9D25AF95378}"/>
  </hyperlinks>
  <pageMargins left="0.75" right="0.75" top="1" bottom="1" header="0.5" footer="0.5"/>
  <tableParts count="1">
    <tablePart r:id="rId3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57C6-382D-4050-BAE9-4B92097E4F7F}">
  <dimension ref="B1:K89"/>
  <sheetViews>
    <sheetView topLeftCell="A48" zoomScaleNormal="100" workbookViewId="0">
      <selection activeCell="B12" sqref="B12:I76"/>
    </sheetView>
  </sheetViews>
  <sheetFormatPr baseColWidth="10" defaultColWidth="8.88671875" defaultRowHeight="14.4" x14ac:dyDescent="0.3"/>
  <cols>
    <col min="1" max="1" width="2" customWidth="1"/>
    <col min="2" max="2" width="6.109375" bestFit="1" customWidth="1"/>
    <col min="3" max="3" width="95.6640625" customWidth="1"/>
    <col min="4" max="8" width="15.5546875" style="28" customWidth="1"/>
    <col min="9" max="9" width="63.33203125" customWidth="1"/>
  </cols>
  <sheetData>
    <row r="1" spans="2:9" s="29" customFormat="1" x14ac:dyDescent="0.3">
      <c r="D1" s="3"/>
      <c r="E1" s="3"/>
      <c r="F1" s="3"/>
      <c r="G1" s="3"/>
      <c r="H1" s="3"/>
    </row>
    <row r="2" spans="2:9" s="29" customFormat="1" ht="27.6" x14ac:dyDescent="0.3">
      <c r="C2" s="48" t="s">
        <v>94</v>
      </c>
      <c r="D2" s="89" t="s">
        <v>32</v>
      </c>
      <c r="E2" s="89" t="s">
        <v>33</v>
      </c>
      <c r="F2" s="89" t="s">
        <v>34</v>
      </c>
      <c r="G2" s="89" t="s">
        <v>35</v>
      </c>
      <c r="H2" s="89" t="s">
        <v>36</v>
      </c>
    </row>
    <row r="3" spans="2:9" s="29" customFormat="1" x14ac:dyDescent="0.3">
      <c r="C3" s="86" t="s">
        <v>305</v>
      </c>
      <c r="D3" s="154">
        <f>+C10</f>
        <v>62</v>
      </c>
      <c r="E3" s="154"/>
      <c r="F3" s="154"/>
      <c r="G3" s="154"/>
      <c r="H3" s="154"/>
    </row>
    <row r="4" spans="2:9" s="29" customFormat="1" x14ac:dyDescent="0.3">
      <c r="C4" s="86" t="s">
        <v>201</v>
      </c>
      <c r="D4" s="85">
        <v>53</v>
      </c>
      <c r="E4" s="85">
        <v>53</v>
      </c>
      <c r="F4" s="85">
        <v>53</v>
      </c>
      <c r="G4" s="85">
        <v>53</v>
      </c>
      <c r="H4" s="85">
        <v>53</v>
      </c>
    </row>
    <row r="5" spans="2:9" s="29" customFormat="1" x14ac:dyDescent="0.3">
      <c r="C5" s="86" t="s">
        <v>307</v>
      </c>
      <c r="D5" s="90"/>
      <c r="E5" s="90"/>
      <c r="F5" s="85">
        <v>6</v>
      </c>
      <c r="G5" s="85">
        <v>6</v>
      </c>
      <c r="H5" s="85">
        <v>6</v>
      </c>
    </row>
    <row r="6" spans="2:9" s="29" customFormat="1" x14ac:dyDescent="0.3">
      <c r="C6" s="86" t="s">
        <v>350</v>
      </c>
      <c r="D6" s="85"/>
      <c r="E6" s="85"/>
      <c r="F6" s="85">
        <v>1</v>
      </c>
      <c r="G6" s="85">
        <v>1</v>
      </c>
      <c r="H6" s="90"/>
    </row>
    <row r="7" spans="2:9" s="29" customFormat="1" x14ac:dyDescent="0.3">
      <c r="C7" s="161" t="s">
        <v>309</v>
      </c>
      <c r="D7" s="85"/>
      <c r="E7" s="90"/>
      <c r="F7" s="85"/>
      <c r="G7" s="85">
        <v>1</v>
      </c>
      <c r="H7" s="90"/>
    </row>
    <row r="8" spans="2:9" s="29" customFormat="1" x14ac:dyDescent="0.3">
      <c r="C8" s="161"/>
      <c r="D8" s="90"/>
      <c r="E8" s="90"/>
      <c r="F8" s="85">
        <v>1</v>
      </c>
      <c r="G8" s="85"/>
      <c r="H8" s="90"/>
    </row>
    <row r="9" spans="2:9" s="29" customFormat="1" x14ac:dyDescent="0.3">
      <c r="D9" s="3"/>
      <c r="E9" s="3"/>
      <c r="F9" s="3"/>
      <c r="G9" s="3"/>
      <c r="H9" s="3"/>
    </row>
    <row r="10" spans="2:9" s="29" customFormat="1" x14ac:dyDescent="0.3">
      <c r="C10" s="29">
        <f>COUNTA(C12:C76)</f>
        <v>62</v>
      </c>
      <c r="D10" s="3">
        <f>COUNTIF(D12:D76,"SI")</f>
        <v>53</v>
      </c>
      <c r="E10" s="3">
        <f t="shared" ref="E10:G10" si="0">COUNTIF(E12:E76,"SI")</f>
        <v>53</v>
      </c>
      <c r="F10" s="3">
        <f t="shared" si="0"/>
        <v>61</v>
      </c>
      <c r="G10" s="3">
        <f t="shared" si="0"/>
        <v>61</v>
      </c>
      <c r="H10" s="3">
        <f>COUNTIF(H12:H76,"SI")</f>
        <v>59</v>
      </c>
    </row>
    <row r="11" spans="2:9" s="29" customFormat="1" ht="27.6" x14ac:dyDescent="0.3">
      <c r="B11" s="2" t="s">
        <v>0</v>
      </c>
      <c r="C11" s="2" t="s">
        <v>96</v>
      </c>
      <c r="D11" s="69" t="s">
        <v>32</v>
      </c>
      <c r="E11" s="69" t="s">
        <v>33</v>
      </c>
      <c r="F11" s="69" t="s">
        <v>34</v>
      </c>
      <c r="G11" s="69" t="s">
        <v>35</v>
      </c>
      <c r="H11" s="69" t="s">
        <v>36</v>
      </c>
      <c r="I11" s="2" t="s">
        <v>97</v>
      </c>
    </row>
    <row r="12" spans="2:9" s="29" customFormat="1" ht="43.2" x14ac:dyDescent="0.3">
      <c r="B12" s="30">
        <v>1</v>
      </c>
      <c r="C12" s="118" t="s">
        <v>98</v>
      </c>
      <c r="D12" s="30" t="s">
        <v>149</v>
      </c>
      <c r="E12" s="30" t="s">
        <v>149</v>
      </c>
      <c r="F12" s="30" t="s">
        <v>149</v>
      </c>
      <c r="G12" s="30" t="s">
        <v>149</v>
      </c>
      <c r="H12" s="30" t="s">
        <v>149</v>
      </c>
      <c r="I12" s="57" t="s">
        <v>150</v>
      </c>
    </row>
    <row r="13" spans="2:9" s="29" customFormat="1" ht="57.6" x14ac:dyDescent="0.3">
      <c r="B13" s="30">
        <v>2</v>
      </c>
      <c r="C13" s="30" t="s">
        <v>102</v>
      </c>
      <c r="D13" s="30" t="s">
        <v>149</v>
      </c>
      <c r="E13" s="30" t="s">
        <v>149</v>
      </c>
      <c r="F13" s="30" t="s">
        <v>149</v>
      </c>
      <c r="G13" s="30" t="s">
        <v>149</v>
      </c>
      <c r="H13" s="30" t="s">
        <v>149</v>
      </c>
      <c r="I13" s="58" t="s">
        <v>151</v>
      </c>
    </row>
    <row r="14" spans="2:9" s="29" customFormat="1" ht="43.2" x14ac:dyDescent="0.3">
      <c r="B14" s="30">
        <v>3</v>
      </c>
      <c r="C14" s="30" t="s">
        <v>152</v>
      </c>
      <c r="D14" s="30" t="s">
        <v>149</v>
      </c>
      <c r="E14" s="30" t="s">
        <v>149</v>
      </c>
      <c r="F14" s="30" t="s">
        <v>149</v>
      </c>
      <c r="G14" s="30" t="s">
        <v>149</v>
      </c>
      <c r="H14" s="30" t="s">
        <v>149</v>
      </c>
      <c r="I14" s="125" t="s">
        <v>153</v>
      </c>
    </row>
    <row r="15" spans="2:9" s="29" customFormat="1" ht="43.2" x14ac:dyDescent="0.3">
      <c r="B15" s="30">
        <v>4</v>
      </c>
      <c r="C15" s="82" t="s">
        <v>154</v>
      </c>
      <c r="D15" s="30" t="s">
        <v>149</v>
      </c>
      <c r="E15" s="30" t="s">
        <v>149</v>
      </c>
      <c r="F15" s="30" t="s">
        <v>149</v>
      </c>
      <c r="G15" s="30" t="s">
        <v>149</v>
      </c>
      <c r="H15" s="30" t="s">
        <v>149</v>
      </c>
      <c r="I15" s="31" t="s">
        <v>351</v>
      </c>
    </row>
    <row r="16" spans="2:9" s="29" customFormat="1" ht="43.2" x14ac:dyDescent="0.3">
      <c r="B16" s="30">
        <v>5</v>
      </c>
      <c r="C16" s="30" t="s">
        <v>156</v>
      </c>
      <c r="D16" s="30" t="s">
        <v>149</v>
      </c>
      <c r="E16" s="30" t="s">
        <v>149</v>
      </c>
      <c r="F16" s="30" t="s">
        <v>149</v>
      </c>
      <c r="G16" s="30" t="s">
        <v>149</v>
      </c>
      <c r="H16" s="30" t="s">
        <v>149</v>
      </c>
      <c r="I16" s="32" t="s">
        <v>203</v>
      </c>
    </row>
    <row r="17" spans="2:9" s="29" customFormat="1" ht="43.2" x14ac:dyDescent="0.3">
      <c r="B17" s="30">
        <v>6</v>
      </c>
      <c r="C17" s="30" t="s">
        <v>104</v>
      </c>
      <c r="D17" s="30" t="s">
        <v>149</v>
      </c>
      <c r="E17" s="30" t="s">
        <v>149</v>
      </c>
      <c r="F17" s="30" t="s">
        <v>149</v>
      </c>
      <c r="G17" s="30" t="s">
        <v>149</v>
      </c>
      <c r="H17" s="30" t="s">
        <v>149</v>
      </c>
      <c r="I17" s="58" t="s">
        <v>352</v>
      </c>
    </row>
    <row r="18" spans="2:9" s="29" customFormat="1" ht="43.2" x14ac:dyDescent="0.3">
      <c r="B18" s="30">
        <v>7</v>
      </c>
      <c r="C18" s="30" t="s">
        <v>161</v>
      </c>
      <c r="D18" s="30" t="s">
        <v>149</v>
      </c>
      <c r="E18" s="30" t="s">
        <v>149</v>
      </c>
      <c r="F18" s="30" t="s">
        <v>149</v>
      </c>
      <c r="G18" s="30" t="s">
        <v>149</v>
      </c>
      <c r="H18" s="30" t="s">
        <v>149</v>
      </c>
      <c r="I18" s="32" t="s">
        <v>207</v>
      </c>
    </row>
    <row r="19" spans="2:9" s="29" customFormat="1" ht="100.8" x14ac:dyDescent="0.3">
      <c r="B19" s="30">
        <v>8</v>
      </c>
      <c r="C19" s="30" t="s">
        <v>252</v>
      </c>
      <c r="D19" s="30" t="s">
        <v>149</v>
      </c>
      <c r="E19" s="30" t="s">
        <v>149</v>
      </c>
      <c r="F19" s="30" t="s">
        <v>149</v>
      </c>
      <c r="G19" s="30" t="s">
        <v>149</v>
      </c>
      <c r="H19" s="30" t="s">
        <v>149</v>
      </c>
      <c r="I19" s="123" t="s">
        <v>253</v>
      </c>
    </row>
    <row r="20" spans="2:9" s="29" customFormat="1" ht="28.8" x14ac:dyDescent="0.3">
      <c r="B20" s="30">
        <v>9</v>
      </c>
      <c r="C20" s="30" t="s">
        <v>353</v>
      </c>
      <c r="D20" s="30" t="s">
        <v>149</v>
      </c>
      <c r="E20" s="30" t="s">
        <v>149</v>
      </c>
      <c r="F20" s="30" t="s">
        <v>149</v>
      </c>
      <c r="G20" s="30" t="s">
        <v>149</v>
      </c>
      <c r="H20" s="30" t="s">
        <v>149</v>
      </c>
      <c r="I20" s="31" t="s">
        <v>354</v>
      </c>
    </row>
    <row r="21" spans="2:9" s="29" customFormat="1" ht="43.2" x14ac:dyDescent="0.3">
      <c r="B21" s="30">
        <v>10</v>
      </c>
      <c r="C21" s="30" t="s">
        <v>163</v>
      </c>
      <c r="D21" s="30" t="s">
        <v>149</v>
      </c>
      <c r="E21" s="30" t="s">
        <v>149</v>
      </c>
      <c r="F21" s="30" t="s">
        <v>149</v>
      </c>
      <c r="G21" s="30" t="s">
        <v>149</v>
      </c>
      <c r="H21" s="30" t="s">
        <v>149</v>
      </c>
      <c r="I21" s="31" t="s">
        <v>164</v>
      </c>
    </row>
    <row r="22" spans="2:9" s="29" customFormat="1" ht="43.2" x14ac:dyDescent="0.3">
      <c r="B22" s="30">
        <v>11</v>
      </c>
      <c r="C22" s="118" t="s">
        <v>355</v>
      </c>
      <c r="D22" s="30" t="s">
        <v>149</v>
      </c>
      <c r="E22" s="30" t="s">
        <v>149</v>
      </c>
      <c r="F22" s="30" t="s">
        <v>149</v>
      </c>
      <c r="G22" s="30" t="s">
        <v>149</v>
      </c>
      <c r="H22" s="30" t="s">
        <v>149</v>
      </c>
      <c r="I22" s="31" t="s">
        <v>356</v>
      </c>
    </row>
    <row r="23" spans="2:9" s="29" customFormat="1" ht="43.2" x14ac:dyDescent="0.3">
      <c r="B23" s="30">
        <v>12</v>
      </c>
      <c r="C23" s="118" t="s">
        <v>254</v>
      </c>
      <c r="D23" s="30" t="s">
        <v>149</v>
      </c>
      <c r="E23" s="30" t="s">
        <v>149</v>
      </c>
      <c r="F23" s="30" t="s">
        <v>149</v>
      </c>
      <c r="G23" s="30" t="s">
        <v>149</v>
      </c>
      <c r="H23" s="30" t="s">
        <v>149</v>
      </c>
      <c r="I23" s="123" t="s">
        <v>357</v>
      </c>
    </row>
    <row r="24" spans="2:9" s="29" customFormat="1" ht="87" customHeight="1" x14ac:dyDescent="0.3">
      <c r="B24" s="30">
        <v>13</v>
      </c>
      <c r="C24" s="82" t="s">
        <v>358</v>
      </c>
      <c r="D24" s="30" t="s">
        <v>149</v>
      </c>
      <c r="E24" s="30" t="s">
        <v>149</v>
      </c>
      <c r="F24" s="30" t="s">
        <v>149</v>
      </c>
      <c r="G24" s="30" t="s">
        <v>149</v>
      </c>
      <c r="H24" s="30" t="s">
        <v>149</v>
      </c>
      <c r="I24" s="31" t="s">
        <v>359</v>
      </c>
    </row>
    <row r="25" spans="2:9" s="29" customFormat="1" ht="59.25" customHeight="1" x14ac:dyDescent="0.3">
      <c r="B25" s="30">
        <v>14</v>
      </c>
      <c r="C25" s="30" t="s">
        <v>360</v>
      </c>
      <c r="D25" s="30" t="s">
        <v>149</v>
      </c>
      <c r="E25" s="30" t="s">
        <v>149</v>
      </c>
      <c r="F25" s="30" t="s">
        <v>149</v>
      </c>
      <c r="G25" s="30" t="s">
        <v>149</v>
      </c>
      <c r="H25" s="30" t="s">
        <v>149</v>
      </c>
      <c r="I25" s="31" t="s">
        <v>361</v>
      </c>
    </row>
    <row r="26" spans="2:9" s="29" customFormat="1" ht="87" customHeight="1" x14ac:dyDescent="0.3">
      <c r="B26" s="30">
        <v>15</v>
      </c>
      <c r="C26" s="30" t="s">
        <v>110</v>
      </c>
      <c r="D26" s="30" t="s">
        <v>149</v>
      </c>
      <c r="E26" s="30" t="s">
        <v>149</v>
      </c>
      <c r="F26" s="30" t="s">
        <v>149</v>
      </c>
      <c r="G26" s="30" t="s">
        <v>149</v>
      </c>
      <c r="H26" s="30" t="s">
        <v>149</v>
      </c>
      <c r="I26" s="58" t="s">
        <v>111</v>
      </c>
    </row>
    <row r="27" spans="2:9" s="29" customFormat="1" ht="60" customHeight="1" x14ac:dyDescent="0.3">
      <c r="B27" s="30">
        <v>16</v>
      </c>
      <c r="C27" s="82" t="s">
        <v>167</v>
      </c>
      <c r="D27" s="30" t="s">
        <v>149</v>
      </c>
      <c r="E27" s="30" t="s">
        <v>149</v>
      </c>
      <c r="F27" s="30" t="s">
        <v>149</v>
      </c>
      <c r="G27" s="30" t="s">
        <v>149</v>
      </c>
      <c r="H27" s="30" t="s">
        <v>149</v>
      </c>
      <c r="I27" s="58" t="s">
        <v>168</v>
      </c>
    </row>
    <row r="28" spans="2:9" s="29" customFormat="1" ht="43.2" x14ac:dyDescent="0.3">
      <c r="B28" s="30">
        <v>17</v>
      </c>
      <c r="C28" s="30" t="s">
        <v>362</v>
      </c>
      <c r="D28" s="30" t="s">
        <v>149</v>
      </c>
      <c r="E28" s="30" t="s">
        <v>149</v>
      </c>
      <c r="F28" s="30" t="s">
        <v>149</v>
      </c>
      <c r="G28" s="30" t="s">
        <v>149</v>
      </c>
      <c r="H28" s="30" t="s">
        <v>149</v>
      </c>
      <c r="I28" s="31" t="s">
        <v>363</v>
      </c>
    </row>
    <row r="29" spans="2:9" s="29" customFormat="1" ht="43.2" x14ac:dyDescent="0.3">
      <c r="B29" s="30">
        <v>18</v>
      </c>
      <c r="C29" s="82" t="s">
        <v>169</v>
      </c>
      <c r="D29" s="30" t="s">
        <v>149</v>
      </c>
      <c r="E29" s="30" t="s">
        <v>149</v>
      </c>
      <c r="F29" s="30" t="s">
        <v>149</v>
      </c>
      <c r="G29" s="30" t="s">
        <v>149</v>
      </c>
      <c r="H29" s="30" t="s">
        <v>149</v>
      </c>
      <c r="I29" s="127" t="s">
        <v>170</v>
      </c>
    </row>
    <row r="30" spans="2:9" s="29" customFormat="1" ht="43.2" x14ac:dyDescent="0.3">
      <c r="B30" s="30">
        <v>19</v>
      </c>
      <c r="C30" s="30" t="s">
        <v>171</v>
      </c>
      <c r="D30" s="30" t="s">
        <v>149</v>
      </c>
      <c r="E30" s="30" t="s">
        <v>149</v>
      </c>
      <c r="F30" s="30" t="s">
        <v>149</v>
      </c>
      <c r="G30" s="30" t="s">
        <v>149</v>
      </c>
      <c r="H30" s="30" t="s">
        <v>149</v>
      </c>
      <c r="I30" s="58" t="s">
        <v>172</v>
      </c>
    </row>
    <row r="31" spans="2:9" s="29" customFormat="1" ht="43.2" x14ac:dyDescent="0.3">
      <c r="B31" s="30">
        <v>20</v>
      </c>
      <c r="C31" s="30" t="s">
        <v>312</v>
      </c>
      <c r="D31" s="30" t="s">
        <v>149</v>
      </c>
      <c r="E31" s="30" t="s">
        <v>149</v>
      </c>
      <c r="F31" s="30" t="s">
        <v>149</v>
      </c>
      <c r="G31" s="30" t="s">
        <v>149</v>
      </c>
      <c r="H31" s="30" t="s">
        <v>149</v>
      </c>
      <c r="I31" s="58" t="s">
        <v>364</v>
      </c>
    </row>
    <row r="32" spans="2:9" s="29" customFormat="1" ht="43.2" x14ac:dyDescent="0.3">
      <c r="B32" s="30">
        <v>21</v>
      </c>
      <c r="C32" s="30" t="s">
        <v>365</v>
      </c>
      <c r="D32" s="30" t="s">
        <v>149</v>
      </c>
      <c r="E32" s="30" t="s">
        <v>149</v>
      </c>
      <c r="F32" s="30" t="s">
        <v>149</v>
      </c>
      <c r="G32" s="30" t="s">
        <v>149</v>
      </c>
      <c r="H32" s="30" t="s">
        <v>149</v>
      </c>
      <c r="I32" s="135" t="s">
        <v>366</v>
      </c>
    </row>
    <row r="33" spans="2:11" s="29" customFormat="1" ht="43.2" x14ac:dyDescent="0.3">
      <c r="B33" s="30">
        <v>22</v>
      </c>
      <c r="C33" s="30" t="s">
        <v>367</v>
      </c>
      <c r="D33" s="30" t="s">
        <v>149</v>
      </c>
      <c r="E33" s="30" t="s">
        <v>149</v>
      </c>
      <c r="F33" s="30" t="s">
        <v>149</v>
      </c>
      <c r="G33" s="30" t="s">
        <v>149</v>
      </c>
      <c r="H33" s="30" t="s">
        <v>149</v>
      </c>
      <c r="I33" s="31" t="s">
        <v>368</v>
      </c>
    </row>
    <row r="34" spans="2:11" s="29" customFormat="1" ht="72.75" customHeight="1" x14ac:dyDescent="0.3">
      <c r="B34" s="30">
        <v>23</v>
      </c>
      <c r="C34" s="30" t="s">
        <v>324</v>
      </c>
      <c r="D34" s="30" t="s">
        <v>149</v>
      </c>
      <c r="E34" s="30" t="s">
        <v>149</v>
      </c>
      <c r="F34" s="30" t="s">
        <v>149</v>
      </c>
      <c r="G34" s="30" t="s">
        <v>149</v>
      </c>
      <c r="H34" s="30" t="s">
        <v>149</v>
      </c>
      <c r="I34" s="121" t="s">
        <v>369</v>
      </c>
    </row>
    <row r="35" spans="2:11" s="29" customFormat="1" ht="46.5" customHeight="1" x14ac:dyDescent="0.3">
      <c r="B35" s="30">
        <v>24</v>
      </c>
      <c r="C35" s="30" t="s">
        <v>370</v>
      </c>
      <c r="D35" s="30" t="s">
        <v>149</v>
      </c>
      <c r="E35" s="30" t="s">
        <v>149</v>
      </c>
      <c r="F35" s="30" t="s">
        <v>149</v>
      </c>
      <c r="G35" s="30" t="s">
        <v>149</v>
      </c>
      <c r="H35" s="30" t="s">
        <v>149</v>
      </c>
      <c r="I35" s="125" t="s">
        <v>371</v>
      </c>
    </row>
    <row r="36" spans="2:11" s="29" customFormat="1" ht="43.2" x14ac:dyDescent="0.3">
      <c r="B36" s="30">
        <v>25</v>
      </c>
      <c r="C36" s="30" t="s">
        <v>112</v>
      </c>
      <c r="D36" s="30" t="s">
        <v>149</v>
      </c>
      <c r="E36" s="30" t="s">
        <v>149</v>
      </c>
      <c r="F36" s="30" t="s">
        <v>149</v>
      </c>
      <c r="G36" s="30" t="s">
        <v>149</v>
      </c>
      <c r="H36" s="30" t="s">
        <v>149</v>
      </c>
      <c r="I36" s="58" t="s">
        <v>113</v>
      </c>
    </row>
    <row r="37" spans="2:11" s="29" customFormat="1" ht="28.8" x14ac:dyDescent="0.3">
      <c r="B37" s="30">
        <v>26</v>
      </c>
      <c r="C37" s="30" t="s">
        <v>173</v>
      </c>
      <c r="D37" s="30" t="s">
        <v>149</v>
      </c>
      <c r="E37" s="30" t="s">
        <v>149</v>
      </c>
      <c r="F37" s="30" t="s">
        <v>149</v>
      </c>
      <c r="G37" s="30" t="s">
        <v>149</v>
      </c>
      <c r="H37" s="30" t="s">
        <v>149</v>
      </c>
      <c r="I37" s="58" t="s">
        <v>174</v>
      </c>
    </row>
    <row r="38" spans="2:11" s="29" customFormat="1" ht="43.2" x14ac:dyDescent="0.3">
      <c r="B38" s="30">
        <v>27</v>
      </c>
      <c r="C38" s="30" t="s">
        <v>114</v>
      </c>
      <c r="D38" s="30" t="s">
        <v>149</v>
      </c>
      <c r="E38" s="30" t="s">
        <v>149</v>
      </c>
      <c r="F38" s="30" t="s">
        <v>149</v>
      </c>
      <c r="G38" s="30" t="s">
        <v>149</v>
      </c>
      <c r="H38" s="30" t="s">
        <v>149</v>
      </c>
      <c r="I38" s="58" t="s">
        <v>175</v>
      </c>
    </row>
    <row r="39" spans="2:11" s="29" customFormat="1" ht="43.2" x14ac:dyDescent="0.3">
      <c r="B39" s="30">
        <v>28</v>
      </c>
      <c r="C39" s="82" t="s">
        <v>176</v>
      </c>
      <c r="D39" s="30" t="s">
        <v>149</v>
      </c>
      <c r="E39" s="30" t="s">
        <v>149</v>
      </c>
      <c r="F39" s="30" t="s">
        <v>149</v>
      </c>
      <c r="G39" s="30" t="s">
        <v>149</v>
      </c>
      <c r="H39" s="30" t="s">
        <v>149</v>
      </c>
      <c r="I39" s="129" t="s">
        <v>372</v>
      </c>
    </row>
    <row r="40" spans="2:11" s="29" customFormat="1" ht="28.8" x14ac:dyDescent="0.3">
      <c r="B40" s="30">
        <v>29</v>
      </c>
      <c r="C40" s="30" t="s">
        <v>116</v>
      </c>
      <c r="D40" s="30" t="s">
        <v>149</v>
      </c>
      <c r="E40" s="30" t="s">
        <v>149</v>
      </c>
      <c r="F40" s="30" t="s">
        <v>149</v>
      </c>
      <c r="G40" s="30" t="s">
        <v>149</v>
      </c>
      <c r="H40" s="30" t="s">
        <v>149</v>
      </c>
      <c r="I40" s="58" t="s">
        <v>117</v>
      </c>
    </row>
    <row r="41" spans="2:11" s="29" customFormat="1" ht="43.2" x14ac:dyDescent="0.3">
      <c r="B41" s="30">
        <v>30</v>
      </c>
      <c r="C41" s="30" t="s">
        <v>237</v>
      </c>
      <c r="D41" s="30" t="s">
        <v>149</v>
      </c>
      <c r="E41" s="30" t="s">
        <v>149</v>
      </c>
      <c r="F41" s="30" t="s">
        <v>149</v>
      </c>
      <c r="G41" s="30" t="s">
        <v>149</v>
      </c>
      <c r="H41" s="30" t="s">
        <v>149</v>
      </c>
      <c r="I41" s="125" t="s">
        <v>238</v>
      </c>
    </row>
    <row r="42" spans="2:11" s="29" customFormat="1" ht="72" x14ac:dyDescent="0.3">
      <c r="B42" s="30">
        <v>31</v>
      </c>
      <c r="C42" s="118" t="s">
        <v>373</v>
      </c>
      <c r="D42" s="30" t="s">
        <v>149</v>
      </c>
      <c r="E42" s="30" t="s">
        <v>149</v>
      </c>
      <c r="F42" s="30" t="s">
        <v>149</v>
      </c>
      <c r="G42" s="30" t="s">
        <v>149</v>
      </c>
      <c r="H42" s="30" t="s">
        <v>149</v>
      </c>
      <c r="I42" s="31" t="s">
        <v>374</v>
      </c>
      <c r="K42" s="26"/>
    </row>
    <row r="43" spans="2:11" s="29" customFormat="1" ht="81" customHeight="1" x14ac:dyDescent="0.3">
      <c r="B43" s="30">
        <v>32</v>
      </c>
      <c r="C43" s="30" t="s">
        <v>316</v>
      </c>
      <c r="D43" s="30" t="s">
        <v>149</v>
      </c>
      <c r="E43" s="30" t="s">
        <v>149</v>
      </c>
      <c r="F43" s="30" t="s">
        <v>149</v>
      </c>
      <c r="G43" s="30" t="s">
        <v>149</v>
      </c>
      <c r="H43" s="30" t="s">
        <v>149</v>
      </c>
      <c r="I43" s="58" t="s">
        <v>375</v>
      </c>
    </row>
    <row r="44" spans="2:11" s="29" customFormat="1" ht="70.5" customHeight="1" x14ac:dyDescent="0.3">
      <c r="B44" s="30">
        <v>33</v>
      </c>
      <c r="C44" s="30" t="s">
        <v>279</v>
      </c>
      <c r="D44" s="30" t="s">
        <v>149</v>
      </c>
      <c r="E44" s="30" t="s">
        <v>149</v>
      </c>
      <c r="F44" s="30" t="s">
        <v>149</v>
      </c>
      <c r="G44" s="30" t="s">
        <v>149</v>
      </c>
      <c r="H44" s="30" t="s">
        <v>149</v>
      </c>
      <c r="I44" s="121" t="s">
        <v>376</v>
      </c>
    </row>
    <row r="45" spans="2:11" s="29" customFormat="1" ht="57.6" x14ac:dyDescent="0.3">
      <c r="B45" s="30">
        <v>34</v>
      </c>
      <c r="C45" s="118" t="s">
        <v>377</v>
      </c>
      <c r="D45" s="30" t="s">
        <v>149</v>
      </c>
      <c r="E45" s="30" t="s">
        <v>149</v>
      </c>
      <c r="F45" s="30" t="s">
        <v>149</v>
      </c>
      <c r="G45" s="30" t="s">
        <v>149</v>
      </c>
      <c r="H45" s="30" t="s">
        <v>149</v>
      </c>
      <c r="I45" s="58" t="s">
        <v>378</v>
      </c>
    </row>
    <row r="46" spans="2:11" s="29" customFormat="1" ht="43.2" x14ac:dyDescent="0.3">
      <c r="B46" s="30">
        <v>35</v>
      </c>
      <c r="C46" s="29" t="s">
        <v>318</v>
      </c>
      <c r="D46" s="30" t="s">
        <v>149</v>
      </c>
      <c r="E46" s="30" t="s">
        <v>149</v>
      </c>
      <c r="F46" s="30" t="s">
        <v>149</v>
      </c>
      <c r="G46" s="30" t="s">
        <v>149</v>
      </c>
      <c r="H46" s="30" t="s">
        <v>149</v>
      </c>
      <c r="I46" s="31" t="s">
        <v>319</v>
      </c>
    </row>
    <row r="47" spans="2:11" s="29" customFormat="1" ht="28.8" x14ac:dyDescent="0.3">
      <c r="B47" s="30">
        <v>36</v>
      </c>
      <c r="C47" s="30" t="s">
        <v>122</v>
      </c>
      <c r="D47" s="30" t="s">
        <v>149</v>
      </c>
      <c r="E47" s="30" t="s">
        <v>149</v>
      </c>
      <c r="F47" s="30" t="s">
        <v>149</v>
      </c>
      <c r="G47" s="30" t="s">
        <v>149</v>
      </c>
      <c r="H47" s="30" t="s">
        <v>149</v>
      </c>
      <c r="I47" s="58" t="s">
        <v>123</v>
      </c>
    </row>
    <row r="48" spans="2:11" s="29" customFormat="1" ht="43.2" x14ac:dyDescent="0.3">
      <c r="B48" s="30">
        <v>37</v>
      </c>
      <c r="C48" s="30" t="s">
        <v>182</v>
      </c>
      <c r="D48" s="30" t="s">
        <v>149</v>
      </c>
      <c r="E48" s="30" t="s">
        <v>149</v>
      </c>
      <c r="F48" s="30" t="s">
        <v>149</v>
      </c>
      <c r="G48" s="30" t="s">
        <v>149</v>
      </c>
      <c r="H48" s="30" t="s">
        <v>149</v>
      </c>
      <c r="I48" s="31" t="s">
        <v>183</v>
      </c>
    </row>
    <row r="49" spans="2:9" s="29" customFormat="1" ht="57.6" x14ac:dyDescent="0.3">
      <c r="B49" s="30">
        <v>38</v>
      </c>
      <c r="C49" s="30" t="s">
        <v>220</v>
      </c>
      <c r="D49" s="30" t="s">
        <v>149</v>
      </c>
      <c r="E49" s="30" t="s">
        <v>149</v>
      </c>
      <c r="F49" s="30" t="s">
        <v>149</v>
      </c>
      <c r="G49" s="30" t="s">
        <v>149</v>
      </c>
      <c r="H49" s="30" t="s">
        <v>149</v>
      </c>
      <c r="I49" s="32" t="s">
        <v>221</v>
      </c>
    </row>
    <row r="50" spans="2:9" s="29" customFormat="1" ht="43.2" x14ac:dyDescent="0.3">
      <c r="B50" s="30">
        <v>39</v>
      </c>
      <c r="C50" s="30" t="s">
        <v>180</v>
      </c>
      <c r="D50" s="30" t="s">
        <v>149</v>
      </c>
      <c r="E50" s="30" t="s">
        <v>149</v>
      </c>
      <c r="F50" s="30" t="s">
        <v>149</v>
      </c>
      <c r="G50" s="30" t="s">
        <v>149</v>
      </c>
      <c r="H50" s="30" t="s">
        <v>149</v>
      </c>
      <c r="I50" s="31" t="s">
        <v>181</v>
      </c>
    </row>
    <row r="51" spans="2:9" s="29" customFormat="1" ht="72" x14ac:dyDescent="0.3">
      <c r="B51" s="30">
        <v>40</v>
      </c>
      <c r="C51" s="30" t="s">
        <v>126</v>
      </c>
      <c r="D51" s="30" t="s">
        <v>149</v>
      </c>
      <c r="E51" s="30" t="s">
        <v>149</v>
      </c>
      <c r="F51" s="30" t="s">
        <v>149</v>
      </c>
      <c r="G51" s="30" t="s">
        <v>149</v>
      </c>
      <c r="H51" s="30" t="s">
        <v>149</v>
      </c>
      <c r="I51" s="58" t="s">
        <v>127</v>
      </c>
    </row>
    <row r="52" spans="2:9" s="29" customFormat="1" ht="28.8" x14ac:dyDescent="0.3">
      <c r="B52" s="30">
        <v>41</v>
      </c>
      <c r="C52" s="30" t="s">
        <v>184</v>
      </c>
      <c r="D52" s="30" t="s">
        <v>149</v>
      </c>
      <c r="E52" s="30" t="s">
        <v>149</v>
      </c>
      <c r="F52" s="30" t="s">
        <v>149</v>
      </c>
      <c r="G52" s="30" t="s">
        <v>149</v>
      </c>
      <c r="H52" s="30" t="s">
        <v>149</v>
      </c>
      <c r="I52" s="31" t="s">
        <v>185</v>
      </c>
    </row>
    <row r="53" spans="2:9" s="29" customFormat="1" ht="43.2" x14ac:dyDescent="0.3">
      <c r="B53" s="30">
        <v>42</v>
      </c>
      <c r="C53" s="30" t="s">
        <v>186</v>
      </c>
      <c r="D53" s="30" t="s">
        <v>149</v>
      </c>
      <c r="E53" s="30" t="s">
        <v>149</v>
      </c>
      <c r="F53" s="30" t="s">
        <v>149</v>
      </c>
      <c r="G53" s="30" t="s">
        <v>149</v>
      </c>
      <c r="H53" s="30" t="s">
        <v>149</v>
      </c>
      <c r="I53" s="61" t="s">
        <v>187</v>
      </c>
    </row>
    <row r="54" spans="2:9" s="29" customFormat="1" ht="28.8" x14ac:dyDescent="0.3">
      <c r="B54" s="30">
        <v>43</v>
      </c>
      <c r="C54" s="30" t="s">
        <v>188</v>
      </c>
      <c r="D54" s="30" t="s">
        <v>149</v>
      </c>
      <c r="E54" s="30" t="s">
        <v>149</v>
      </c>
      <c r="F54" s="30" t="s">
        <v>149</v>
      </c>
      <c r="G54" s="30" t="s">
        <v>149</v>
      </c>
      <c r="H54" s="30" t="s">
        <v>149</v>
      </c>
      <c r="I54" s="61" t="s">
        <v>189</v>
      </c>
    </row>
    <row r="55" spans="2:9" s="29" customFormat="1" ht="43.2" x14ac:dyDescent="0.3">
      <c r="B55" s="30">
        <v>44</v>
      </c>
      <c r="C55" s="30" t="s">
        <v>130</v>
      </c>
      <c r="D55" s="30" t="s">
        <v>149</v>
      </c>
      <c r="E55" s="30" t="s">
        <v>149</v>
      </c>
      <c r="F55" s="30" t="s">
        <v>149</v>
      </c>
      <c r="G55" s="30" t="s">
        <v>149</v>
      </c>
      <c r="H55" s="30" t="s">
        <v>149</v>
      </c>
      <c r="I55" s="58" t="s">
        <v>131</v>
      </c>
    </row>
    <row r="56" spans="2:9" s="29" customFormat="1" ht="43.2" x14ac:dyDescent="0.3">
      <c r="B56" s="30">
        <v>45</v>
      </c>
      <c r="C56" s="30" t="s">
        <v>132</v>
      </c>
      <c r="D56" s="30" t="s">
        <v>149</v>
      </c>
      <c r="E56" s="30" t="s">
        <v>149</v>
      </c>
      <c r="F56" s="30" t="s">
        <v>149</v>
      </c>
      <c r="G56" s="30" t="s">
        <v>149</v>
      </c>
      <c r="H56" s="30" t="s">
        <v>149</v>
      </c>
      <c r="I56" s="58" t="s">
        <v>133</v>
      </c>
    </row>
    <row r="57" spans="2:9" s="29" customFormat="1" ht="72" x14ac:dyDescent="0.3">
      <c r="B57" s="30">
        <v>46</v>
      </c>
      <c r="C57" s="30" t="s">
        <v>289</v>
      </c>
      <c r="D57" s="30" t="s">
        <v>149</v>
      </c>
      <c r="E57" s="30" t="s">
        <v>149</v>
      </c>
      <c r="F57" s="30" t="s">
        <v>149</v>
      </c>
      <c r="G57" s="30" t="s">
        <v>149</v>
      </c>
      <c r="H57" s="30" t="s">
        <v>149</v>
      </c>
      <c r="I57" s="125" t="s">
        <v>290</v>
      </c>
    </row>
    <row r="58" spans="2:9" s="29" customFormat="1" ht="57.6" x14ac:dyDescent="0.3">
      <c r="B58" s="30">
        <v>47</v>
      </c>
      <c r="C58" s="30" t="s">
        <v>190</v>
      </c>
      <c r="D58" s="30" t="s">
        <v>149</v>
      </c>
      <c r="E58" s="30" t="s">
        <v>149</v>
      </c>
      <c r="F58" s="30" t="s">
        <v>149</v>
      </c>
      <c r="G58" s="30" t="s">
        <v>149</v>
      </c>
      <c r="H58" s="30" t="s">
        <v>149</v>
      </c>
      <c r="I58" s="61" t="s">
        <v>191</v>
      </c>
    </row>
    <row r="59" spans="2:9" s="29" customFormat="1" ht="86.4" x14ac:dyDescent="0.3">
      <c r="B59" s="30">
        <v>48</v>
      </c>
      <c r="C59" s="104" t="s">
        <v>192</v>
      </c>
      <c r="D59" s="30" t="s">
        <v>149</v>
      </c>
      <c r="E59" s="30" t="s">
        <v>149</v>
      </c>
      <c r="F59" s="30" t="s">
        <v>149</v>
      </c>
      <c r="G59" s="30" t="s">
        <v>149</v>
      </c>
      <c r="H59" s="30" t="s">
        <v>149</v>
      </c>
      <c r="I59" s="61" t="s">
        <v>193</v>
      </c>
    </row>
    <row r="60" spans="2:9" s="29" customFormat="1" ht="57.6" x14ac:dyDescent="0.3">
      <c r="B60" s="30">
        <v>49</v>
      </c>
      <c r="C60" s="30" t="s">
        <v>134</v>
      </c>
      <c r="D60" s="30" t="s">
        <v>149</v>
      </c>
      <c r="E60" s="30" t="s">
        <v>149</v>
      </c>
      <c r="F60" s="30" t="s">
        <v>149</v>
      </c>
      <c r="G60" s="30" t="s">
        <v>149</v>
      </c>
      <c r="H60" s="30" t="s">
        <v>149</v>
      </c>
      <c r="I60" s="58" t="s">
        <v>135</v>
      </c>
    </row>
    <row r="61" spans="2:9" s="29" customFormat="1" ht="57.6" x14ac:dyDescent="0.3">
      <c r="B61" s="30">
        <v>50</v>
      </c>
      <c r="C61" s="30" t="s">
        <v>136</v>
      </c>
      <c r="D61" s="30" t="s">
        <v>149</v>
      </c>
      <c r="E61" s="30" t="s">
        <v>149</v>
      </c>
      <c r="F61" s="30" t="s">
        <v>149</v>
      </c>
      <c r="G61" s="30" t="s">
        <v>149</v>
      </c>
      <c r="H61" s="30" t="s">
        <v>149</v>
      </c>
      <c r="I61" s="58" t="s">
        <v>137</v>
      </c>
    </row>
    <row r="62" spans="2:9" s="29" customFormat="1" ht="100.8" x14ac:dyDescent="0.3">
      <c r="B62" s="30">
        <v>51</v>
      </c>
      <c r="C62" s="118" t="s">
        <v>379</v>
      </c>
      <c r="D62" s="30" t="s">
        <v>149</v>
      </c>
      <c r="E62" s="30" t="s">
        <v>149</v>
      </c>
      <c r="F62" s="30" t="s">
        <v>149</v>
      </c>
      <c r="G62" s="30" t="s">
        <v>149</v>
      </c>
      <c r="H62" s="30" t="s">
        <v>149</v>
      </c>
      <c r="I62" s="125" t="s">
        <v>380</v>
      </c>
    </row>
    <row r="63" spans="2:9" s="29" customFormat="1" ht="28.8" x14ac:dyDescent="0.3">
      <c r="B63" s="30">
        <v>52</v>
      </c>
      <c r="C63" s="30" t="s">
        <v>138</v>
      </c>
      <c r="D63" s="30" t="s">
        <v>149</v>
      </c>
      <c r="E63" s="30" t="s">
        <v>149</v>
      </c>
      <c r="F63" s="30" t="s">
        <v>149</v>
      </c>
      <c r="G63" s="30" t="s">
        <v>149</v>
      </c>
      <c r="H63" s="30" t="s">
        <v>149</v>
      </c>
      <c r="I63" s="58" t="s">
        <v>139</v>
      </c>
    </row>
    <row r="64" spans="2:9" s="29" customFormat="1" ht="72" x14ac:dyDescent="0.3">
      <c r="B64" s="30">
        <v>53</v>
      </c>
      <c r="C64" s="82" t="s">
        <v>198</v>
      </c>
      <c r="D64" s="30" t="s">
        <v>149</v>
      </c>
      <c r="E64" s="30" t="s">
        <v>149</v>
      </c>
      <c r="F64" s="30" t="s">
        <v>149</v>
      </c>
      <c r="G64" s="30" t="s">
        <v>149</v>
      </c>
      <c r="H64" s="30" t="s">
        <v>149</v>
      </c>
      <c r="I64" s="125" t="s">
        <v>199</v>
      </c>
    </row>
    <row r="65" spans="2:9" s="29" customFormat="1" x14ac:dyDescent="0.3">
      <c r="B65" s="39"/>
      <c r="C65" s="39"/>
      <c r="D65" s="65"/>
      <c r="E65" s="65"/>
      <c r="F65" s="65"/>
      <c r="G65" s="65"/>
      <c r="H65" s="65"/>
      <c r="I65" s="39"/>
    </row>
    <row r="66" spans="2:9" s="29" customFormat="1" ht="57.6" x14ac:dyDescent="0.3">
      <c r="B66" s="30">
        <v>1</v>
      </c>
      <c r="C66" s="30" t="s">
        <v>110</v>
      </c>
      <c r="D66" s="30"/>
      <c r="E66" s="30"/>
      <c r="F66" s="30" t="s">
        <v>149</v>
      </c>
      <c r="G66" s="30" t="s">
        <v>149</v>
      </c>
      <c r="H66" s="30" t="s">
        <v>149</v>
      </c>
      <c r="I66" s="31" t="s">
        <v>381</v>
      </c>
    </row>
    <row r="67" spans="2:9" s="29" customFormat="1" ht="57.6" x14ac:dyDescent="0.3">
      <c r="B67" s="36">
        <v>2</v>
      </c>
      <c r="C67" s="36" t="s">
        <v>382</v>
      </c>
      <c r="D67" s="36"/>
      <c r="E67" s="36"/>
      <c r="F67" s="36" t="s">
        <v>149</v>
      </c>
      <c r="G67" s="36" t="s">
        <v>149</v>
      </c>
      <c r="H67" s="36" t="s">
        <v>149</v>
      </c>
      <c r="I67" s="56" t="s">
        <v>383</v>
      </c>
    </row>
    <row r="68" spans="2:9" s="29" customFormat="1" ht="43.2" x14ac:dyDescent="0.3">
      <c r="B68" s="30">
        <v>3</v>
      </c>
      <c r="C68" s="30" t="s">
        <v>114</v>
      </c>
      <c r="D68" s="30"/>
      <c r="E68" s="30"/>
      <c r="F68" s="30" t="s">
        <v>149</v>
      </c>
      <c r="G68" s="30" t="s">
        <v>149</v>
      </c>
      <c r="H68" s="30" t="s">
        <v>149</v>
      </c>
      <c r="I68" s="61" t="s">
        <v>338</v>
      </c>
    </row>
    <row r="69" spans="2:9" s="29" customFormat="1" ht="43.2" x14ac:dyDescent="0.3">
      <c r="B69" s="36">
        <v>4</v>
      </c>
      <c r="C69" s="36" t="s">
        <v>232</v>
      </c>
      <c r="D69" s="36"/>
      <c r="E69" s="36"/>
      <c r="F69" s="36" t="s">
        <v>149</v>
      </c>
      <c r="G69" s="36" t="s">
        <v>149</v>
      </c>
      <c r="H69" s="36" t="s">
        <v>149</v>
      </c>
      <c r="I69" s="91" t="s">
        <v>233</v>
      </c>
    </row>
    <row r="70" spans="2:9" s="29" customFormat="1" ht="72" x14ac:dyDescent="0.3">
      <c r="B70" s="30">
        <v>5</v>
      </c>
      <c r="C70" s="30" t="s">
        <v>239</v>
      </c>
      <c r="D70" s="30"/>
      <c r="E70" s="30"/>
      <c r="F70" s="30" t="s">
        <v>149</v>
      </c>
      <c r="G70" s="30" t="s">
        <v>149</v>
      </c>
      <c r="H70" s="30" t="s">
        <v>149</v>
      </c>
      <c r="I70" s="31" t="s">
        <v>240</v>
      </c>
    </row>
    <row r="71" spans="2:9" s="29" customFormat="1" ht="57.6" x14ac:dyDescent="0.3">
      <c r="B71" s="36">
        <v>6</v>
      </c>
      <c r="C71" s="36" t="s">
        <v>384</v>
      </c>
      <c r="D71" s="36"/>
      <c r="E71" s="36"/>
      <c r="F71" s="36" t="s">
        <v>149</v>
      </c>
      <c r="G71" s="36" t="s">
        <v>149</v>
      </c>
      <c r="H71" s="36" t="s">
        <v>149</v>
      </c>
      <c r="I71" s="56" t="s">
        <v>385</v>
      </c>
    </row>
    <row r="72" spans="2:9" s="29" customFormat="1" x14ac:dyDescent="0.3">
      <c r="B72" s="39"/>
      <c r="C72" s="39"/>
      <c r="D72" s="65"/>
      <c r="E72" s="65"/>
      <c r="F72" s="65"/>
      <c r="G72" s="65"/>
      <c r="H72" s="65"/>
      <c r="I72" s="39"/>
    </row>
    <row r="73" spans="2:9" s="29" customFormat="1" ht="57.6" x14ac:dyDescent="0.3">
      <c r="B73" s="30">
        <v>1</v>
      </c>
      <c r="C73" s="30" t="s">
        <v>358</v>
      </c>
      <c r="D73" s="30"/>
      <c r="E73" s="30"/>
      <c r="F73" s="30" t="s">
        <v>149</v>
      </c>
      <c r="G73" s="30" t="s">
        <v>149</v>
      </c>
      <c r="H73" s="30"/>
      <c r="I73" s="31" t="s">
        <v>359</v>
      </c>
    </row>
    <row r="74" spans="2:9" s="29" customFormat="1" x14ac:dyDescent="0.3">
      <c r="B74" s="39"/>
      <c r="C74" s="39"/>
      <c r="D74" s="65"/>
      <c r="E74" s="65"/>
      <c r="F74" s="65"/>
      <c r="G74" s="65"/>
      <c r="H74" s="65"/>
      <c r="I74" s="39"/>
    </row>
    <row r="75" spans="2:9" s="29" customFormat="1" ht="107.25" customHeight="1" x14ac:dyDescent="0.3">
      <c r="B75" s="30">
        <v>1</v>
      </c>
      <c r="C75" s="30" t="s">
        <v>252</v>
      </c>
      <c r="D75" s="30"/>
      <c r="E75" s="30"/>
      <c r="F75" s="30"/>
      <c r="G75" s="30" t="s">
        <v>149</v>
      </c>
      <c r="H75" s="30"/>
      <c r="I75" s="57" t="s">
        <v>334</v>
      </c>
    </row>
    <row r="76" spans="2:9" s="29" customFormat="1" ht="57.6" x14ac:dyDescent="0.3">
      <c r="B76" s="36">
        <v>2</v>
      </c>
      <c r="C76" s="36" t="s">
        <v>377</v>
      </c>
      <c r="D76" s="36"/>
      <c r="E76" s="36"/>
      <c r="F76" s="36" t="s">
        <v>149</v>
      </c>
      <c r="G76" s="36"/>
      <c r="H76" s="36"/>
      <c r="I76" s="36" t="s">
        <v>386</v>
      </c>
    </row>
    <row r="77" spans="2:9" s="29" customFormat="1" x14ac:dyDescent="0.3"/>
    <row r="78" spans="2:9" s="29" customFormat="1" x14ac:dyDescent="0.3"/>
    <row r="79" spans="2:9" s="29" customFormat="1" x14ac:dyDescent="0.3">
      <c r="D79" s="3"/>
      <c r="E79" s="3"/>
      <c r="F79" s="3"/>
      <c r="G79" s="3"/>
      <c r="H79" s="3"/>
    </row>
    <row r="80" spans="2:9" s="29" customFormat="1" x14ac:dyDescent="0.3">
      <c r="D80" s="3"/>
      <c r="E80" s="3"/>
      <c r="F80" s="3"/>
      <c r="G80" s="3"/>
      <c r="H80" s="3"/>
    </row>
    <row r="81" spans="4:8" s="29" customFormat="1" x14ac:dyDescent="0.3">
      <c r="D81" s="3"/>
      <c r="E81" s="3"/>
      <c r="F81" s="3"/>
      <c r="G81" s="3"/>
      <c r="H81" s="3"/>
    </row>
    <row r="82" spans="4:8" s="29" customFormat="1" x14ac:dyDescent="0.3">
      <c r="D82" s="3"/>
      <c r="E82" s="3"/>
      <c r="F82" s="3"/>
      <c r="G82" s="3"/>
      <c r="H82" s="3"/>
    </row>
    <row r="83" spans="4:8" s="29" customFormat="1" x14ac:dyDescent="0.3">
      <c r="D83" s="3"/>
      <c r="E83" s="3"/>
      <c r="F83" s="3"/>
      <c r="G83" s="3"/>
      <c r="H83" s="3"/>
    </row>
    <row r="84" spans="4:8" s="29" customFormat="1" x14ac:dyDescent="0.3">
      <c r="D84" s="3"/>
      <c r="E84" s="3"/>
      <c r="F84" s="3"/>
      <c r="G84" s="3"/>
      <c r="H84" s="3"/>
    </row>
    <row r="85" spans="4:8" s="29" customFormat="1" x14ac:dyDescent="0.3">
      <c r="D85" s="3"/>
      <c r="E85" s="3"/>
      <c r="F85" s="3"/>
      <c r="G85" s="3"/>
      <c r="H85" s="3"/>
    </row>
    <row r="86" spans="4:8" s="29" customFormat="1" x14ac:dyDescent="0.3">
      <c r="D86" s="3"/>
      <c r="E86" s="3"/>
      <c r="F86" s="3"/>
      <c r="G86" s="3"/>
      <c r="H86" s="3"/>
    </row>
    <row r="87" spans="4:8" s="29" customFormat="1" x14ac:dyDescent="0.3">
      <c r="D87" s="3"/>
      <c r="E87" s="3"/>
      <c r="F87" s="3"/>
      <c r="G87" s="3"/>
      <c r="H87" s="3"/>
    </row>
    <row r="88" spans="4:8" s="29" customFormat="1" x14ac:dyDescent="0.3">
      <c r="D88" s="3"/>
      <c r="E88" s="3"/>
      <c r="F88" s="3"/>
      <c r="G88" s="3"/>
      <c r="H88" s="3"/>
    </row>
    <row r="89" spans="4:8" s="29" customFormat="1" x14ac:dyDescent="0.3">
      <c r="D89" s="3"/>
      <c r="E89" s="3"/>
      <c r="F89" s="3"/>
      <c r="G89" s="3"/>
      <c r="H89" s="3"/>
    </row>
  </sheetData>
  <mergeCells count="2">
    <mergeCell ref="D3:H3"/>
    <mergeCell ref="C7:C8"/>
  </mergeCells>
  <hyperlinks>
    <hyperlink ref="C36" r:id="rId1" xr:uid="{5F54118C-D16E-4710-A167-404D93630BC6}"/>
    <hyperlink ref="C21" r:id="rId2" xr:uid="{22C353CA-E2B0-493D-8FF6-C425A3206DE3}"/>
    <hyperlink ref="C24" r:id="rId3" xr:uid="{A12724D9-7E13-48D5-B978-84959643AE27}"/>
    <hyperlink ref="C19" r:id="rId4" xr:uid="{E8E3E68D-4C79-4DA1-8FA7-9A8DB27F0315}"/>
    <hyperlink ref="C20" r:id="rId5" xr:uid="{E66A5AE1-20BE-4562-9249-C8AE60115DDC}"/>
    <hyperlink ref="C22" r:id="rId6" xr:uid="{388A7303-62F5-4405-8885-1A6024644F1C}"/>
    <hyperlink ref="C44" r:id="rId7" location="1555105635499-a4507e58-10e9" xr:uid="{93844F15-187D-4D05-BCBB-0975675595DE}"/>
    <hyperlink ref="C23" r:id="rId8" location="1559325573466-1284efd5-2d1b" xr:uid="{23F560C0-ADAB-4FB1-8A66-106B47DEC178}"/>
    <hyperlink ref="C62" r:id="rId9" location="1541776888584-73400ddd-b78d" xr:uid="{D1BFB5F8-9E89-41D4-A9ED-69D423DE3192}"/>
    <hyperlink ref="C31" r:id="rId10" xr:uid="{FAEC12D6-9F71-4FA0-9CE1-EF5D4CFAF2B1}"/>
    <hyperlink ref="C32" r:id="rId11" xr:uid="{4A67698C-2D00-42EC-B235-AF64BA9E9483}"/>
    <hyperlink ref="C33" r:id="rId12" xr:uid="{E85A779B-E689-46EB-8C09-7E343522C43D}"/>
    <hyperlink ref="C25" r:id="rId13" xr:uid="{8D5B8723-868B-4B50-AC9C-3D2846BFB0C0}"/>
    <hyperlink ref="C34" r:id="rId14" xr:uid="{CAAFD34A-EE5F-44C0-BA6F-A03A89A88ED1}"/>
    <hyperlink ref="C35" r:id="rId15" xr:uid="{899BB12D-F1D7-4A00-808C-6248154B2A20}"/>
    <hyperlink ref="C43" r:id="rId16" xr:uid="{160F2614-48E7-4D0B-B555-5962F300790D}"/>
    <hyperlink ref="C28" r:id="rId17" xr:uid="{4F6F576F-F7C7-43CB-A053-EB44072C5768}"/>
    <hyperlink ref="C57" r:id="rId18" location="1541780077723-c74e470e-b935" xr:uid="{CE79D843-64B7-42ED-9DBE-99D5F2631602}"/>
    <hyperlink ref="C45" r:id="rId19" xr:uid="{A59598F6-3D68-475F-B78F-B6F1A982D4A6}"/>
    <hyperlink ref="C13" r:id="rId20" xr:uid="{E444FBD5-4B82-419C-B110-CC7FB41DC1F8}"/>
    <hyperlink ref="C26" r:id="rId21" xr:uid="{68AF997B-90FF-4738-93EE-41DAB0A596B4}"/>
    <hyperlink ref="C50" r:id="rId22" location="1541718919329-b32e6928-0a05" xr:uid="{FD95AA97-DA22-4D05-81A5-F1060B4453B4}"/>
    <hyperlink ref="C54" r:id="rId23" location="1606494573178-22f9effd-91cc" xr:uid="{A0074DEF-EDE6-4231-85B0-D27ABD84888A}"/>
    <hyperlink ref="C16" r:id="rId24" xr:uid="{32B577E8-24D5-47F0-86AA-91A12DDA0C93}"/>
    <hyperlink ref="C70" r:id="rId25" xr:uid="{EB18FF1D-D0E8-4233-BE66-0462AD5B6F32}"/>
    <hyperlink ref="C71" r:id="rId26" xr:uid="{9A3F30CD-0B01-4F74-BA92-EB60F2028A53}"/>
    <hyperlink ref="C66" r:id="rId27" xr:uid="{6E0D0311-512A-4C8E-92A9-389C54560655}"/>
    <hyperlink ref="C67" r:id="rId28" xr:uid="{396FD654-88B1-4508-AE54-636EDE5DDB72}"/>
    <hyperlink ref="C68" r:id="rId29" xr:uid="{BBA8528B-4466-417E-B397-6216EBA53519}"/>
    <hyperlink ref="C69" r:id="rId30" xr:uid="{68459CC1-A034-4014-A1C8-DFDDEAA6426F}"/>
    <hyperlink ref="C73" r:id="rId31" xr:uid="{F07443B6-8641-4E6A-839D-46687A13EE4D}"/>
    <hyperlink ref="C76" r:id="rId32" xr:uid="{E94A2760-6D08-45B9-8EBC-1E4C35911AD1}"/>
    <hyperlink ref="C75" r:id="rId33" xr:uid="{E6026F90-163F-4932-8811-26344C0DBA67}"/>
    <hyperlink ref="C29" r:id="rId34" xr:uid="{3FE2D50C-781F-447A-AE92-655E78A73C37}"/>
    <hyperlink ref="C27" r:id="rId35" xr:uid="{D7851278-0A13-4256-9C69-52779CB9F2B3}"/>
    <hyperlink ref="C64" r:id="rId36" xr:uid="{A5D7BC8D-2E79-4A74-854C-AB73F60C79EE}"/>
    <hyperlink ref="C15" r:id="rId37" xr:uid="{4E374A6C-EF74-424C-956C-DDF1168B7A52}"/>
    <hyperlink ref="C39" r:id="rId38" xr:uid="{45E8AD46-AB30-4EDA-90F9-17BAF1AA33EC}"/>
    <hyperlink ref="C59" r:id="rId39" location="1541722264271-487e21fd-d904" xr:uid="{20283C0B-A5DF-4F98-9A73-4BE1CABD94BE}"/>
    <hyperlink ref="C42" r:id="rId40" xr:uid="{4D38C4CE-40FF-4699-BE27-D765A1641A34}"/>
    <hyperlink ref="C12" r:id="rId41" xr:uid="{A0EA209E-99E4-459F-9117-637644D801F5}"/>
  </hyperlinks>
  <pageMargins left="0.75" right="0.75" top="1" bottom="1" header="0.5" footer="0.5"/>
  <pageSetup orientation="portrait"/>
  <tableParts count="1">
    <tablePart r:id="rId4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440C-2F58-4FCA-AB6E-382CAA9091D2}">
  <dimension ref="B1:M82"/>
  <sheetViews>
    <sheetView topLeftCell="B1" zoomScale="90" zoomScaleNormal="90" workbookViewId="0">
      <selection activeCell="B12" sqref="B12:M64"/>
    </sheetView>
  </sheetViews>
  <sheetFormatPr baseColWidth="10" defaultColWidth="8.88671875" defaultRowHeight="14.4" x14ac:dyDescent="0.3"/>
  <cols>
    <col min="1" max="1" width="2.33203125" customWidth="1"/>
    <col min="2" max="2" width="6.109375" bestFit="1" customWidth="1"/>
    <col min="3" max="3" width="69.5546875" customWidth="1"/>
    <col min="4" max="4" width="15.33203125" style="27" customWidth="1"/>
    <col min="5" max="12" width="15.33203125" style="28" customWidth="1"/>
    <col min="13" max="13" width="74.6640625" customWidth="1"/>
  </cols>
  <sheetData>
    <row r="1" spans="2:13" s="29" customFormat="1" x14ac:dyDescent="0.3">
      <c r="D1" s="3"/>
      <c r="E1" s="3"/>
      <c r="F1" s="3"/>
      <c r="G1" s="3"/>
      <c r="H1" s="3"/>
      <c r="I1" s="3"/>
      <c r="J1" s="3"/>
      <c r="K1" s="3"/>
      <c r="L1" s="3"/>
    </row>
    <row r="2" spans="2:13" s="29" customFormat="1" ht="41.4" x14ac:dyDescent="0.3">
      <c r="C2" s="83" t="s">
        <v>94</v>
      </c>
      <c r="D2" s="84" t="s">
        <v>38</v>
      </c>
      <c r="E2" s="84" t="s">
        <v>39</v>
      </c>
      <c r="F2" s="84" t="s">
        <v>40</v>
      </c>
      <c r="G2" s="84" t="s">
        <v>41</v>
      </c>
      <c r="H2" s="84" t="s">
        <v>42</v>
      </c>
      <c r="I2" s="84" t="s">
        <v>43</v>
      </c>
      <c r="J2" s="84" t="s">
        <v>44</v>
      </c>
      <c r="K2" s="84" t="s">
        <v>45</v>
      </c>
      <c r="L2" s="66" t="s">
        <v>46</v>
      </c>
    </row>
    <row r="3" spans="2:13" s="29" customFormat="1" x14ac:dyDescent="0.3">
      <c r="C3" s="73" t="s">
        <v>305</v>
      </c>
      <c r="D3" s="164">
        <v>50</v>
      </c>
      <c r="E3" s="165"/>
      <c r="F3" s="165"/>
      <c r="G3" s="165"/>
      <c r="H3" s="165"/>
      <c r="I3" s="165"/>
      <c r="J3" s="165"/>
      <c r="K3" s="165"/>
      <c r="L3" s="165"/>
    </row>
    <row r="4" spans="2:13" s="29" customFormat="1" x14ac:dyDescent="0.3">
      <c r="C4" s="86" t="s">
        <v>201</v>
      </c>
      <c r="D4" s="85">
        <v>45</v>
      </c>
      <c r="E4" s="85">
        <v>45</v>
      </c>
      <c r="F4" s="85">
        <v>45</v>
      </c>
      <c r="G4" s="85">
        <v>45</v>
      </c>
      <c r="H4" s="85">
        <v>45</v>
      </c>
      <c r="I4" s="85">
        <v>45</v>
      </c>
      <c r="J4" s="85">
        <v>45</v>
      </c>
      <c r="K4" s="85">
        <v>45</v>
      </c>
      <c r="L4" s="85">
        <v>45</v>
      </c>
    </row>
    <row r="5" spans="2:13" s="29" customFormat="1" x14ac:dyDescent="0.3">
      <c r="C5" s="86" t="s">
        <v>387</v>
      </c>
      <c r="D5" s="85">
        <v>1</v>
      </c>
      <c r="E5" s="85">
        <v>1</v>
      </c>
      <c r="F5" s="85"/>
      <c r="G5" s="85"/>
      <c r="H5" s="85"/>
      <c r="I5" s="85"/>
      <c r="J5" s="85">
        <v>1</v>
      </c>
      <c r="K5" s="85">
        <v>1</v>
      </c>
      <c r="L5" s="85"/>
    </row>
    <row r="6" spans="2:13" s="29" customFormat="1" x14ac:dyDescent="0.3">
      <c r="C6" s="87" t="s">
        <v>388</v>
      </c>
      <c r="D6" s="88">
        <v>1</v>
      </c>
      <c r="E6" s="88">
        <v>1</v>
      </c>
      <c r="F6" s="88"/>
      <c r="G6" s="88"/>
      <c r="H6" s="88"/>
      <c r="I6" s="88"/>
      <c r="J6" s="88">
        <v>1</v>
      </c>
      <c r="K6" s="88"/>
      <c r="L6" s="88"/>
    </row>
    <row r="7" spans="2:13" s="29" customFormat="1" x14ac:dyDescent="0.3">
      <c r="C7" s="162" t="s">
        <v>389</v>
      </c>
      <c r="D7" s="64"/>
      <c r="E7" s="64"/>
      <c r="F7" s="64"/>
      <c r="G7" s="64"/>
      <c r="H7" s="64"/>
      <c r="I7" s="64"/>
      <c r="J7" s="64">
        <v>2</v>
      </c>
      <c r="K7" s="64">
        <v>2</v>
      </c>
      <c r="L7" s="64"/>
    </row>
    <row r="8" spans="2:13" s="29" customFormat="1" x14ac:dyDescent="0.3">
      <c r="C8" s="163"/>
      <c r="D8" s="64">
        <v>1</v>
      </c>
      <c r="E8" s="64"/>
      <c r="F8" s="64"/>
      <c r="G8" s="64"/>
      <c r="H8" s="64"/>
      <c r="I8" s="64"/>
      <c r="J8" s="64">
        <v>1</v>
      </c>
      <c r="K8" s="64"/>
      <c r="L8" s="64"/>
    </row>
    <row r="9" spans="2:13" s="29" customFormat="1" x14ac:dyDescent="0.3">
      <c r="D9" s="3"/>
      <c r="E9" s="3"/>
      <c r="F9" s="3"/>
      <c r="G9" s="3"/>
      <c r="H9" s="3"/>
      <c r="I9" s="3"/>
      <c r="J9" s="3"/>
      <c r="K9" s="3"/>
      <c r="L9" s="3"/>
    </row>
    <row r="10" spans="2:13" s="29" customFormat="1" x14ac:dyDescent="0.3">
      <c r="C10" s="29">
        <f>COUNTIF(AuxiliaresFunciónPública15[URL],"*")</f>
        <v>50</v>
      </c>
      <c r="D10" s="3">
        <f>COUNTIF(AuxiliaresFunciónPública15[Courier],"*")</f>
        <v>48</v>
      </c>
      <c r="E10" s="3">
        <f>COUNTIF(AuxiliaresFunciónPública15[Consolidadores y Desconsolidadores de Carga],"*")</f>
        <v>47</v>
      </c>
      <c r="F10" s="3">
        <f>COUNTIF(AuxiliaresFunciónPública15[Almacenes Fiscales],"*")</f>
        <v>45</v>
      </c>
      <c r="G10" s="3">
        <f>COUNTIF(AuxiliaresFunciónPública15[Almacenadoras],"*")</f>
        <v>45</v>
      </c>
      <c r="H10" s="3">
        <f>COUNTIF(AuxiliaresFunciónPública15[Depósitos Aduaneros],"*")</f>
        <v>45</v>
      </c>
      <c r="I10" s="3">
        <f>COUNTIF(AuxiliaresFunciónPública15[ZDEEP],"*")</f>
        <v>45</v>
      </c>
      <c r="J10" s="3">
        <f>COUNTIF(AuxiliaresFunciónPública15[Agentes Aduaneros],"*")</f>
        <v>50</v>
      </c>
      <c r="K10" s="3">
        <f>COUNTIF(AuxiliaresFunciónPública15[Transportistas],"*")</f>
        <v>48</v>
      </c>
      <c r="L10" s="3">
        <f>COUNTIF(AuxiliaresFunciónPública15[Apoderado Especial Aduanero],"*")</f>
        <v>45</v>
      </c>
    </row>
    <row r="11" spans="2:13" s="29" customFormat="1" ht="51.75" customHeight="1" x14ac:dyDescent="0.3">
      <c r="B11" s="67" t="s">
        <v>0</v>
      </c>
      <c r="C11" s="67" t="s">
        <v>96</v>
      </c>
      <c r="D11" s="66" t="s">
        <v>38</v>
      </c>
      <c r="E11" s="66" t="s">
        <v>39</v>
      </c>
      <c r="F11" s="66" t="s">
        <v>40</v>
      </c>
      <c r="G11" s="66" t="s">
        <v>41</v>
      </c>
      <c r="H11" s="66" t="s">
        <v>42</v>
      </c>
      <c r="I11" s="66" t="s">
        <v>43</v>
      </c>
      <c r="J11" s="66" t="s">
        <v>44</v>
      </c>
      <c r="K11" s="66" t="s">
        <v>45</v>
      </c>
      <c r="L11" s="66" t="s">
        <v>46</v>
      </c>
      <c r="M11" s="68" t="s">
        <v>97</v>
      </c>
    </row>
    <row r="12" spans="2:13" s="29" customFormat="1" ht="57.6" x14ac:dyDescent="0.3">
      <c r="B12" s="29">
        <v>1</v>
      </c>
      <c r="C12" s="31" t="s">
        <v>102</v>
      </c>
      <c r="D12" s="31" t="s">
        <v>149</v>
      </c>
      <c r="E12" s="31" t="s">
        <v>149</v>
      </c>
      <c r="F12" s="31" t="s">
        <v>149</v>
      </c>
      <c r="G12" s="31" t="s">
        <v>149</v>
      </c>
      <c r="H12" s="31" t="s">
        <v>149</v>
      </c>
      <c r="I12" s="31" t="s">
        <v>149</v>
      </c>
      <c r="J12" s="31" t="s">
        <v>149</v>
      </c>
      <c r="K12" s="31" t="s">
        <v>149</v>
      </c>
      <c r="L12" s="31" t="s">
        <v>149</v>
      </c>
      <c r="M12" s="58" t="s">
        <v>151</v>
      </c>
    </row>
    <row r="13" spans="2:13" s="29" customFormat="1" ht="43.2" x14ac:dyDescent="0.3">
      <c r="B13" s="29">
        <v>2</v>
      </c>
      <c r="C13" s="31" t="s">
        <v>152</v>
      </c>
      <c r="D13" s="31" t="s">
        <v>149</v>
      </c>
      <c r="E13" s="31" t="s">
        <v>149</v>
      </c>
      <c r="F13" s="31" t="s">
        <v>149</v>
      </c>
      <c r="G13" s="31" t="s">
        <v>149</v>
      </c>
      <c r="H13" s="31" t="s">
        <v>149</v>
      </c>
      <c r="I13" s="31" t="s">
        <v>149</v>
      </c>
      <c r="J13" s="31" t="s">
        <v>149</v>
      </c>
      <c r="K13" s="31" t="s">
        <v>149</v>
      </c>
      <c r="L13" s="31" t="s">
        <v>149</v>
      </c>
      <c r="M13" s="136" t="s">
        <v>249</v>
      </c>
    </row>
    <row r="14" spans="2:13" s="29" customFormat="1" ht="54.75" customHeight="1" x14ac:dyDescent="0.3">
      <c r="B14" s="29">
        <v>3</v>
      </c>
      <c r="C14" s="31" t="s">
        <v>156</v>
      </c>
      <c r="D14" s="31" t="s">
        <v>149</v>
      </c>
      <c r="E14" s="31" t="s">
        <v>149</v>
      </c>
      <c r="F14" s="31" t="s">
        <v>149</v>
      </c>
      <c r="G14" s="31" t="s">
        <v>149</v>
      </c>
      <c r="H14" s="31" t="s">
        <v>149</v>
      </c>
      <c r="I14" s="31" t="s">
        <v>149</v>
      </c>
      <c r="J14" s="31" t="s">
        <v>149</v>
      </c>
      <c r="K14" s="31" t="s">
        <v>149</v>
      </c>
      <c r="L14" s="31" t="s">
        <v>149</v>
      </c>
      <c r="M14" s="31" t="s">
        <v>203</v>
      </c>
    </row>
    <row r="15" spans="2:13" s="29" customFormat="1" ht="43.2" x14ac:dyDescent="0.3">
      <c r="B15" s="29">
        <v>4</v>
      </c>
      <c r="C15" s="31" t="s">
        <v>104</v>
      </c>
      <c r="D15" s="31" t="s">
        <v>149</v>
      </c>
      <c r="E15" s="31" t="s">
        <v>149</v>
      </c>
      <c r="F15" s="31" t="s">
        <v>149</v>
      </c>
      <c r="G15" s="31" t="s">
        <v>149</v>
      </c>
      <c r="H15" s="31" t="s">
        <v>149</v>
      </c>
      <c r="I15" s="31" t="s">
        <v>149</v>
      </c>
      <c r="J15" s="31" t="s">
        <v>149</v>
      </c>
      <c r="K15" s="31" t="s">
        <v>149</v>
      </c>
      <c r="L15" s="31" t="s">
        <v>149</v>
      </c>
      <c r="M15" s="58" t="s">
        <v>390</v>
      </c>
    </row>
    <row r="16" spans="2:13" s="29" customFormat="1" ht="28.8" x14ac:dyDescent="0.3">
      <c r="B16" s="29">
        <v>5</v>
      </c>
      <c r="C16" s="31" t="s">
        <v>161</v>
      </c>
      <c r="D16" s="31" t="s">
        <v>149</v>
      </c>
      <c r="E16" s="31" t="s">
        <v>149</v>
      </c>
      <c r="F16" s="31" t="s">
        <v>149</v>
      </c>
      <c r="G16" s="31" t="s">
        <v>149</v>
      </c>
      <c r="H16" s="31" t="s">
        <v>149</v>
      </c>
      <c r="I16" s="31" t="s">
        <v>149</v>
      </c>
      <c r="J16" s="31" t="s">
        <v>149</v>
      </c>
      <c r="K16" s="31" t="s">
        <v>149</v>
      </c>
      <c r="L16" s="31" t="s">
        <v>149</v>
      </c>
      <c r="M16" s="31" t="s">
        <v>207</v>
      </c>
    </row>
    <row r="17" spans="2:13" s="29" customFormat="1" ht="86.4" x14ac:dyDescent="0.3">
      <c r="B17" s="29">
        <v>6</v>
      </c>
      <c r="C17" s="31" t="s">
        <v>252</v>
      </c>
      <c r="D17" s="31" t="s">
        <v>149</v>
      </c>
      <c r="E17" s="31" t="s">
        <v>149</v>
      </c>
      <c r="F17" s="31" t="s">
        <v>149</v>
      </c>
      <c r="G17" s="31" t="s">
        <v>149</v>
      </c>
      <c r="H17" s="31" t="s">
        <v>149</v>
      </c>
      <c r="I17" s="31" t="s">
        <v>149</v>
      </c>
      <c r="J17" s="31" t="s">
        <v>149</v>
      </c>
      <c r="K17" s="31" t="s">
        <v>149</v>
      </c>
      <c r="L17" s="31" t="s">
        <v>149</v>
      </c>
      <c r="M17" s="31" t="s">
        <v>253</v>
      </c>
    </row>
    <row r="18" spans="2:13" s="29" customFormat="1" ht="43.2" x14ac:dyDescent="0.3">
      <c r="B18" s="29">
        <v>7</v>
      </c>
      <c r="C18" s="31" t="s">
        <v>254</v>
      </c>
      <c r="D18" s="31" t="s">
        <v>149</v>
      </c>
      <c r="E18" s="31" t="s">
        <v>149</v>
      </c>
      <c r="F18" s="31" t="s">
        <v>149</v>
      </c>
      <c r="G18" s="31" t="s">
        <v>149</v>
      </c>
      <c r="H18" s="31" t="s">
        <v>149</v>
      </c>
      <c r="I18" s="31" t="s">
        <v>149</v>
      </c>
      <c r="J18" s="31" t="s">
        <v>149</v>
      </c>
      <c r="K18" s="31" t="s">
        <v>149</v>
      </c>
      <c r="L18" s="31" t="s">
        <v>149</v>
      </c>
      <c r="M18" s="129" t="s">
        <v>391</v>
      </c>
    </row>
    <row r="19" spans="2:13" s="29" customFormat="1" ht="28.8" x14ac:dyDescent="0.3">
      <c r="B19" s="29">
        <v>8</v>
      </c>
      <c r="C19" s="31" t="s">
        <v>360</v>
      </c>
      <c r="D19" s="31" t="s">
        <v>149</v>
      </c>
      <c r="E19" s="31" t="s">
        <v>149</v>
      </c>
      <c r="F19" s="31" t="s">
        <v>149</v>
      </c>
      <c r="G19" s="31" t="s">
        <v>149</v>
      </c>
      <c r="H19" s="31" t="s">
        <v>149</v>
      </c>
      <c r="I19" s="31" t="s">
        <v>149</v>
      </c>
      <c r="J19" s="31" t="s">
        <v>149</v>
      </c>
      <c r="K19" s="31" t="s">
        <v>149</v>
      </c>
      <c r="L19" s="31" t="s">
        <v>149</v>
      </c>
      <c r="M19" s="31" t="s">
        <v>361</v>
      </c>
    </row>
    <row r="20" spans="2:13" s="29" customFormat="1" ht="43.2" x14ac:dyDescent="0.3">
      <c r="B20" s="29">
        <v>9</v>
      </c>
      <c r="C20" s="31" t="s">
        <v>110</v>
      </c>
      <c r="D20" s="31" t="s">
        <v>149</v>
      </c>
      <c r="E20" s="31" t="s">
        <v>149</v>
      </c>
      <c r="F20" s="31" t="s">
        <v>149</v>
      </c>
      <c r="G20" s="31" t="s">
        <v>149</v>
      </c>
      <c r="H20" s="31" t="s">
        <v>149</v>
      </c>
      <c r="I20" s="31" t="s">
        <v>149</v>
      </c>
      <c r="J20" s="31" t="s">
        <v>149</v>
      </c>
      <c r="K20" s="31" t="s">
        <v>149</v>
      </c>
      <c r="L20" s="31" t="s">
        <v>149</v>
      </c>
      <c r="M20" s="58" t="s">
        <v>111</v>
      </c>
    </row>
    <row r="21" spans="2:13" s="29" customFormat="1" ht="28.8" x14ac:dyDescent="0.3">
      <c r="B21" s="29">
        <v>10</v>
      </c>
      <c r="C21" s="31" t="s">
        <v>212</v>
      </c>
      <c r="D21" s="31" t="s">
        <v>149</v>
      </c>
      <c r="E21" s="31" t="s">
        <v>149</v>
      </c>
      <c r="F21" s="31" t="s">
        <v>149</v>
      </c>
      <c r="G21" s="31" t="s">
        <v>149</v>
      </c>
      <c r="H21" s="31" t="s">
        <v>149</v>
      </c>
      <c r="I21" s="31" t="s">
        <v>149</v>
      </c>
      <c r="J21" s="31" t="s">
        <v>149</v>
      </c>
      <c r="K21" s="31" t="s">
        <v>149</v>
      </c>
      <c r="L21" s="31" t="s">
        <v>149</v>
      </c>
      <c r="M21" s="31" t="s">
        <v>213</v>
      </c>
    </row>
    <row r="22" spans="2:13" s="29" customFormat="1" ht="28.8" x14ac:dyDescent="0.3">
      <c r="B22" s="29">
        <v>11</v>
      </c>
      <c r="C22" s="31" t="s">
        <v>214</v>
      </c>
      <c r="D22" s="31" t="s">
        <v>149</v>
      </c>
      <c r="E22" s="31" t="s">
        <v>149</v>
      </c>
      <c r="F22" s="31" t="s">
        <v>149</v>
      </c>
      <c r="G22" s="31" t="s">
        <v>149</v>
      </c>
      <c r="H22" s="31" t="s">
        <v>149</v>
      </c>
      <c r="I22" s="31" t="s">
        <v>149</v>
      </c>
      <c r="J22" s="31" t="s">
        <v>149</v>
      </c>
      <c r="K22" s="31" t="s">
        <v>149</v>
      </c>
      <c r="L22" s="31" t="s">
        <v>149</v>
      </c>
      <c r="M22" s="31" t="s">
        <v>215</v>
      </c>
    </row>
    <row r="23" spans="2:13" s="29" customFormat="1" ht="28.8" x14ac:dyDescent="0.3">
      <c r="B23" s="29">
        <v>12</v>
      </c>
      <c r="C23" s="31" t="s">
        <v>312</v>
      </c>
      <c r="D23" s="31" t="s">
        <v>149</v>
      </c>
      <c r="E23" s="31" t="s">
        <v>149</v>
      </c>
      <c r="F23" s="31" t="s">
        <v>149</v>
      </c>
      <c r="G23" s="31" t="s">
        <v>149</v>
      </c>
      <c r="H23" s="31" t="s">
        <v>149</v>
      </c>
      <c r="I23" s="31" t="s">
        <v>149</v>
      </c>
      <c r="J23" s="31" t="s">
        <v>149</v>
      </c>
      <c r="K23" s="31" t="s">
        <v>149</v>
      </c>
      <c r="L23" s="31" t="s">
        <v>149</v>
      </c>
      <c r="M23" s="57" t="s">
        <v>364</v>
      </c>
    </row>
    <row r="24" spans="2:13" s="29" customFormat="1" ht="28.8" x14ac:dyDescent="0.3">
      <c r="B24" s="29">
        <v>13</v>
      </c>
      <c r="C24" s="31" t="s">
        <v>367</v>
      </c>
      <c r="D24" s="31" t="s">
        <v>149</v>
      </c>
      <c r="E24" s="31" t="s">
        <v>149</v>
      </c>
      <c r="F24" s="31" t="s">
        <v>149</v>
      </c>
      <c r="G24" s="31" t="s">
        <v>149</v>
      </c>
      <c r="H24" s="31" t="s">
        <v>149</v>
      </c>
      <c r="I24" s="31" t="s">
        <v>149</v>
      </c>
      <c r="J24" s="31" t="s">
        <v>149</v>
      </c>
      <c r="K24" s="31" t="s">
        <v>149</v>
      </c>
      <c r="L24" s="31" t="s">
        <v>149</v>
      </c>
      <c r="M24" s="31" t="s">
        <v>368</v>
      </c>
    </row>
    <row r="25" spans="2:13" s="29" customFormat="1" ht="43.2" x14ac:dyDescent="0.3">
      <c r="B25" s="29">
        <v>14</v>
      </c>
      <c r="C25" s="31" t="s">
        <v>258</v>
      </c>
      <c r="D25" s="31" t="s">
        <v>149</v>
      </c>
      <c r="E25" s="31" t="s">
        <v>149</v>
      </c>
      <c r="F25" s="31" t="s">
        <v>149</v>
      </c>
      <c r="G25" s="31" t="s">
        <v>149</v>
      </c>
      <c r="H25" s="31" t="s">
        <v>149</v>
      </c>
      <c r="I25" s="31" t="s">
        <v>149</v>
      </c>
      <c r="J25" s="31" t="s">
        <v>149</v>
      </c>
      <c r="K25" s="31" t="s">
        <v>149</v>
      </c>
      <c r="L25" s="31" t="s">
        <v>149</v>
      </c>
      <c r="M25" s="31" t="s">
        <v>259</v>
      </c>
    </row>
    <row r="26" spans="2:13" s="29" customFormat="1" ht="43.2" x14ac:dyDescent="0.3">
      <c r="B26" s="29">
        <v>15</v>
      </c>
      <c r="C26" s="31" t="s">
        <v>392</v>
      </c>
      <c r="D26" s="31" t="s">
        <v>149</v>
      </c>
      <c r="E26" s="31" t="s">
        <v>149</v>
      </c>
      <c r="F26" s="31" t="s">
        <v>149</v>
      </c>
      <c r="G26" s="31" t="s">
        <v>149</v>
      </c>
      <c r="H26" s="31" t="s">
        <v>149</v>
      </c>
      <c r="I26" s="31" t="s">
        <v>149</v>
      </c>
      <c r="J26" s="31" t="s">
        <v>149</v>
      </c>
      <c r="K26" s="31" t="s">
        <v>149</v>
      </c>
      <c r="L26" s="31" t="s">
        <v>149</v>
      </c>
      <c r="M26" s="129" t="s">
        <v>393</v>
      </c>
    </row>
    <row r="27" spans="2:13" s="29" customFormat="1" ht="28.8" x14ac:dyDescent="0.3">
      <c r="B27" s="29">
        <v>16</v>
      </c>
      <c r="C27" s="31" t="s">
        <v>116</v>
      </c>
      <c r="D27" s="31" t="s">
        <v>149</v>
      </c>
      <c r="E27" s="31" t="s">
        <v>149</v>
      </c>
      <c r="F27" s="31" t="s">
        <v>149</v>
      </c>
      <c r="G27" s="31" t="s">
        <v>149</v>
      </c>
      <c r="H27" s="31" t="s">
        <v>149</v>
      </c>
      <c r="I27" s="31" t="s">
        <v>149</v>
      </c>
      <c r="J27" s="31" t="s">
        <v>149</v>
      </c>
      <c r="K27" s="31" t="s">
        <v>149</v>
      </c>
      <c r="L27" s="31" t="s">
        <v>149</v>
      </c>
      <c r="M27" s="58" t="s">
        <v>117</v>
      </c>
    </row>
    <row r="28" spans="2:13" s="29" customFormat="1" ht="43.2" x14ac:dyDescent="0.3">
      <c r="B28" s="29">
        <v>17</v>
      </c>
      <c r="C28" s="31" t="s">
        <v>237</v>
      </c>
      <c r="D28" s="31" t="s">
        <v>149</v>
      </c>
      <c r="E28" s="31" t="s">
        <v>149</v>
      </c>
      <c r="F28" s="31" t="s">
        <v>149</v>
      </c>
      <c r="G28" s="31" t="s">
        <v>149</v>
      </c>
      <c r="H28" s="31" t="s">
        <v>149</v>
      </c>
      <c r="I28" s="31" t="s">
        <v>149</v>
      </c>
      <c r="J28" s="31" t="s">
        <v>149</v>
      </c>
      <c r="K28" s="31" t="s">
        <v>149</v>
      </c>
      <c r="L28" s="31" t="s">
        <v>149</v>
      </c>
      <c r="M28" s="57" t="s">
        <v>262</v>
      </c>
    </row>
    <row r="29" spans="2:13" s="29" customFormat="1" ht="43.2" x14ac:dyDescent="0.3">
      <c r="B29" s="29">
        <v>18</v>
      </c>
      <c r="C29" s="31" t="s">
        <v>263</v>
      </c>
      <c r="D29" s="31" t="s">
        <v>149</v>
      </c>
      <c r="E29" s="31" t="s">
        <v>149</v>
      </c>
      <c r="F29" s="31" t="s">
        <v>149</v>
      </c>
      <c r="G29" s="31" t="s">
        <v>149</v>
      </c>
      <c r="H29" s="31" t="s">
        <v>149</v>
      </c>
      <c r="I29" s="31" t="s">
        <v>149</v>
      </c>
      <c r="J29" s="31" t="s">
        <v>149</v>
      </c>
      <c r="K29" s="31" t="s">
        <v>149</v>
      </c>
      <c r="L29" s="31" t="s">
        <v>149</v>
      </c>
      <c r="M29" s="61" t="s">
        <v>264</v>
      </c>
    </row>
    <row r="30" spans="2:13" s="29" customFormat="1" ht="43.2" x14ac:dyDescent="0.3">
      <c r="B30" s="29">
        <v>19</v>
      </c>
      <c r="C30" s="31" t="s">
        <v>265</v>
      </c>
      <c r="D30" s="31" t="s">
        <v>149</v>
      </c>
      <c r="E30" s="31" t="s">
        <v>149</v>
      </c>
      <c r="F30" s="31" t="s">
        <v>149</v>
      </c>
      <c r="G30" s="31" t="s">
        <v>149</v>
      </c>
      <c r="H30" s="31" t="s">
        <v>149</v>
      </c>
      <c r="I30" s="31" t="s">
        <v>149</v>
      </c>
      <c r="J30" s="31" t="s">
        <v>149</v>
      </c>
      <c r="K30" s="31" t="s">
        <v>149</v>
      </c>
      <c r="L30" s="31" t="s">
        <v>149</v>
      </c>
      <c r="M30" s="125" t="s">
        <v>266</v>
      </c>
    </row>
    <row r="31" spans="2:13" s="29" customFormat="1" ht="100.8" x14ac:dyDescent="0.3">
      <c r="B31" s="29">
        <v>20</v>
      </c>
      <c r="C31" s="31" t="s">
        <v>271</v>
      </c>
      <c r="D31" s="31" t="s">
        <v>149</v>
      </c>
      <c r="E31" s="31" t="s">
        <v>149</v>
      </c>
      <c r="F31" s="31" t="s">
        <v>149</v>
      </c>
      <c r="G31" s="31" t="s">
        <v>149</v>
      </c>
      <c r="H31" s="31" t="s">
        <v>149</v>
      </c>
      <c r="I31" s="31" t="s">
        <v>149</v>
      </c>
      <c r="J31" s="31" t="s">
        <v>149</v>
      </c>
      <c r="K31" s="31" t="s">
        <v>149</v>
      </c>
      <c r="L31" s="31" t="s">
        <v>149</v>
      </c>
      <c r="M31" s="31" t="s">
        <v>272</v>
      </c>
    </row>
    <row r="32" spans="2:13" s="29" customFormat="1" ht="43.2" x14ac:dyDescent="0.3">
      <c r="B32" s="29">
        <v>21</v>
      </c>
      <c r="C32" s="31" t="s">
        <v>267</v>
      </c>
      <c r="D32" s="31" t="s">
        <v>149</v>
      </c>
      <c r="E32" s="31" t="s">
        <v>149</v>
      </c>
      <c r="F32" s="31" t="s">
        <v>149</v>
      </c>
      <c r="G32" s="31" t="s">
        <v>149</v>
      </c>
      <c r="H32" s="31" t="s">
        <v>149</v>
      </c>
      <c r="I32" s="31" t="s">
        <v>149</v>
      </c>
      <c r="J32" s="31" t="s">
        <v>149</v>
      </c>
      <c r="K32" s="31" t="s">
        <v>149</v>
      </c>
      <c r="L32" s="31" t="s">
        <v>149</v>
      </c>
      <c r="M32" s="31" t="s">
        <v>268</v>
      </c>
    </row>
    <row r="33" spans="2:13" s="29" customFormat="1" ht="43.2" x14ac:dyDescent="0.3">
      <c r="B33" s="29">
        <v>22</v>
      </c>
      <c r="C33" s="31" t="s">
        <v>269</v>
      </c>
      <c r="D33" s="31" t="s">
        <v>149</v>
      </c>
      <c r="E33" s="31" t="s">
        <v>149</v>
      </c>
      <c r="F33" s="31" t="s">
        <v>149</v>
      </c>
      <c r="G33" s="31" t="s">
        <v>149</v>
      </c>
      <c r="H33" s="31" t="s">
        <v>149</v>
      </c>
      <c r="I33" s="31" t="s">
        <v>149</v>
      </c>
      <c r="J33" s="31" t="s">
        <v>149</v>
      </c>
      <c r="K33" s="31" t="s">
        <v>149</v>
      </c>
      <c r="L33" s="31" t="s">
        <v>149</v>
      </c>
      <c r="M33" s="125" t="s">
        <v>270</v>
      </c>
    </row>
    <row r="34" spans="2:13" s="29" customFormat="1" ht="57.6" x14ac:dyDescent="0.3">
      <c r="B34" s="29">
        <v>23</v>
      </c>
      <c r="C34" s="31" t="s">
        <v>273</v>
      </c>
      <c r="D34" s="31" t="s">
        <v>149</v>
      </c>
      <c r="E34" s="31" t="s">
        <v>149</v>
      </c>
      <c r="F34" s="31" t="s">
        <v>149</v>
      </c>
      <c r="G34" s="31" t="s">
        <v>149</v>
      </c>
      <c r="H34" s="31" t="s">
        <v>149</v>
      </c>
      <c r="I34" s="31" t="s">
        <v>149</v>
      </c>
      <c r="J34" s="31" t="s">
        <v>149</v>
      </c>
      <c r="K34" s="31" t="s">
        <v>149</v>
      </c>
      <c r="L34" s="31" t="s">
        <v>149</v>
      </c>
      <c r="M34" s="125" t="s">
        <v>274</v>
      </c>
    </row>
    <row r="35" spans="2:13" s="29" customFormat="1" ht="57.6" x14ac:dyDescent="0.3">
      <c r="B35" s="29">
        <v>24</v>
      </c>
      <c r="C35" s="31" t="s">
        <v>316</v>
      </c>
      <c r="D35" s="31" t="s">
        <v>149</v>
      </c>
      <c r="E35" s="31" t="s">
        <v>149</v>
      </c>
      <c r="F35" s="31" t="s">
        <v>149</v>
      </c>
      <c r="G35" s="31" t="s">
        <v>149</v>
      </c>
      <c r="H35" s="31" t="s">
        <v>149</v>
      </c>
      <c r="I35" s="31" t="s">
        <v>149</v>
      </c>
      <c r="J35" s="31" t="s">
        <v>149</v>
      </c>
      <c r="K35" s="31" t="s">
        <v>149</v>
      </c>
      <c r="L35" s="31" t="s">
        <v>149</v>
      </c>
      <c r="M35" s="31" t="s">
        <v>317</v>
      </c>
    </row>
    <row r="36" spans="2:13" s="29" customFormat="1" ht="43.2" x14ac:dyDescent="0.3">
      <c r="B36" s="29">
        <v>25</v>
      </c>
      <c r="C36" s="31" t="s">
        <v>277</v>
      </c>
      <c r="D36" s="31" t="s">
        <v>149</v>
      </c>
      <c r="E36" s="31" t="s">
        <v>149</v>
      </c>
      <c r="F36" s="31" t="s">
        <v>149</v>
      </c>
      <c r="G36" s="31" t="s">
        <v>149</v>
      </c>
      <c r="H36" s="31" t="s">
        <v>149</v>
      </c>
      <c r="I36" s="31" t="s">
        <v>149</v>
      </c>
      <c r="J36" s="31" t="s">
        <v>149</v>
      </c>
      <c r="K36" s="31" t="s">
        <v>149</v>
      </c>
      <c r="L36" s="31" t="s">
        <v>149</v>
      </c>
      <c r="M36" s="31" t="s">
        <v>394</v>
      </c>
    </row>
    <row r="37" spans="2:13" s="29" customFormat="1" ht="57.6" x14ac:dyDescent="0.3">
      <c r="B37" s="29">
        <v>26</v>
      </c>
      <c r="C37" s="31" t="s">
        <v>326</v>
      </c>
      <c r="D37" s="31" t="s">
        <v>149</v>
      </c>
      <c r="E37" s="31" t="s">
        <v>149</v>
      </c>
      <c r="F37" s="31" t="s">
        <v>149</v>
      </c>
      <c r="G37" s="31" t="s">
        <v>149</v>
      </c>
      <c r="H37" s="31" t="s">
        <v>149</v>
      </c>
      <c r="I37" s="31" t="s">
        <v>149</v>
      </c>
      <c r="J37" s="31" t="s">
        <v>149</v>
      </c>
      <c r="K37" s="31" t="s">
        <v>149</v>
      </c>
      <c r="L37" s="31" t="s">
        <v>149</v>
      </c>
      <c r="M37" s="57" t="s">
        <v>395</v>
      </c>
    </row>
    <row r="38" spans="2:13" s="29" customFormat="1" ht="43.2" x14ac:dyDescent="0.3">
      <c r="B38" s="29">
        <v>27</v>
      </c>
      <c r="C38" s="104" t="s">
        <v>275</v>
      </c>
      <c r="D38" s="31" t="s">
        <v>149</v>
      </c>
      <c r="E38" s="31" t="s">
        <v>149</v>
      </c>
      <c r="F38" s="31" t="s">
        <v>149</v>
      </c>
      <c r="G38" s="31" t="s">
        <v>149</v>
      </c>
      <c r="H38" s="31" t="s">
        <v>149</v>
      </c>
      <c r="I38" s="31" t="s">
        <v>149</v>
      </c>
      <c r="J38" s="31" t="s">
        <v>149</v>
      </c>
      <c r="K38" s="31" t="s">
        <v>149</v>
      </c>
      <c r="L38" s="31" t="s">
        <v>149</v>
      </c>
      <c r="M38" s="125" t="s">
        <v>276</v>
      </c>
    </row>
    <row r="39" spans="2:13" s="29" customFormat="1" ht="57.6" x14ac:dyDescent="0.3">
      <c r="B39" s="29">
        <v>28</v>
      </c>
      <c r="C39" s="31" t="s">
        <v>281</v>
      </c>
      <c r="D39" s="31" t="s">
        <v>149</v>
      </c>
      <c r="E39" s="31" t="s">
        <v>149</v>
      </c>
      <c r="F39" s="31" t="s">
        <v>149</v>
      </c>
      <c r="G39" s="31" t="s">
        <v>149</v>
      </c>
      <c r="H39" s="31" t="s">
        <v>149</v>
      </c>
      <c r="I39" s="31" t="s">
        <v>149</v>
      </c>
      <c r="J39" s="31" t="s">
        <v>149</v>
      </c>
      <c r="K39" s="31" t="s">
        <v>149</v>
      </c>
      <c r="L39" s="31" t="s">
        <v>149</v>
      </c>
      <c r="M39" s="125" t="s">
        <v>282</v>
      </c>
    </row>
    <row r="40" spans="2:13" s="29" customFormat="1" ht="57.6" x14ac:dyDescent="0.3">
      <c r="B40" s="29">
        <v>29</v>
      </c>
      <c r="C40" s="31" t="s">
        <v>396</v>
      </c>
      <c r="D40" s="31" t="s">
        <v>149</v>
      </c>
      <c r="E40" s="31" t="s">
        <v>149</v>
      </c>
      <c r="F40" s="31" t="s">
        <v>149</v>
      </c>
      <c r="G40" s="31" t="s">
        <v>149</v>
      </c>
      <c r="H40" s="31" t="s">
        <v>149</v>
      </c>
      <c r="I40" s="31" t="s">
        <v>149</v>
      </c>
      <c r="J40" s="31" t="s">
        <v>149</v>
      </c>
      <c r="K40" s="31" t="s">
        <v>149</v>
      </c>
      <c r="L40" s="31" t="s">
        <v>149</v>
      </c>
      <c r="M40" s="129" t="s">
        <v>397</v>
      </c>
    </row>
    <row r="41" spans="2:13" s="29" customFormat="1" ht="43.2" x14ac:dyDescent="0.3">
      <c r="B41" s="29">
        <v>30</v>
      </c>
      <c r="C41" s="118" t="s">
        <v>285</v>
      </c>
      <c r="D41" s="31" t="s">
        <v>149</v>
      </c>
      <c r="E41" s="31" t="s">
        <v>149</v>
      </c>
      <c r="F41" s="31" t="s">
        <v>149</v>
      </c>
      <c r="G41" s="31" t="s">
        <v>149</v>
      </c>
      <c r="H41" s="31" t="s">
        <v>149</v>
      </c>
      <c r="I41" s="31" t="s">
        <v>149</v>
      </c>
      <c r="J41" s="31" t="s">
        <v>149</v>
      </c>
      <c r="K41" s="31" t="s">
        <v>149</v>
      </c>
      <c r="L41" s="31" t="s">
        <v>149</v>
      </c>
      <c r="M41" s="31" t="s">
        <v>286</v>
      </c>
    </row>
    <row r="42" spans="2:13" s="29" customFormat="1" ht="43.2" x14ac:dyDescent="0.3">
      <c r="B42" s="29">
        <v>31</v>
      </c>
      <c r="C42" s="118" t="s">
        <v>287</v>
      </c>
      <c r="D42" s="31" t="s">
        <v>149</v>
      </c>
      <c r="E42" s="31" t="s">
        <v>149</v>
      </c>
      <c r="F42" s="31" t="s">
        <v>149</v>
      </c>
      <c r="G42" s="31" t="s">
        <v>149</v>
      </c>
      <c r="H42" s="31" t="s">
        <v>149</v>
      </c>
      <c r="I42" s="31" t="s">
        <v>149</v>
      </c>
      <c r="J42" s="31" t="s">
        <v>149</v>
      </c>
      <c r="K42" s="31" t="s">
        <v>149</v>
      </c>
      <c r="L42" s="31" t="s">
        <v>149</v>
      </c>
      <c r="M42" s="129" t="s">
        <v>288</v>
      </c>
    </row>
    <row r="43" spans="2:13" s="29" customFormat="1" ht="28.8" x14ac:dyDescent="0.3">
      <c r="B43" s="29">
        <v>32</v>
      </c>
      <c r="C43" s="104" t="s">
        <v>398</v>
      </c>
      <c r="D43" s="31" t="s">
        <v>149</v>
      </c>
      <c r="E43" s="31" t="s">
        <v>149</v>
      </c>
      <c r="F43" s="31" t="s">
        <v>149</v>
      </c>
      <c r="G43" s="31" t="s">
        <v>149</v>
      </c>
      <c r="H43" s="31" t="s">
        <v>149</v>
      </c>
      <c r="I43" s="31" t="s">
        <v>149</v>
      </c>
      <c r="J43" s="31" t="s">
        <v>149</v>
      </c>
      <c r="K43" s="31" t="s">
        <v>149</v>
      </c>
      <c r="L43" s="31" t="s">
        <v>149</v>
      </c>
      <c r="M43" s="135" t="s">
        <v>399</v>
      </c>
    </row>
    <row r="44" spans="2:13" s="29" customFormat="1" ht="87" customHeight="1" x14ac:dyDescent="0.3">
      <c r="B44" s="29">
        <v>33</v>
      </c>
      <c r="C44" s="31" t="s">
        <v>180</v>
      </c>
      <c r="D44" s="31" t="s">
        <v>149</v>
      </c>
      <c r="E44" s="31" t="s">
        <v>149</v>
      </c>
      <c r="F44" s="31" t="s">
        <v>149</v>
      </c>
      <c r="G44" s="31" t="s">
        <v>149</v>
      </c>
      <c r="H44" s="31" t="s">
        <v>149</v>
      </c>
      <c r="I44" s="31" t="s">
        <v>149</v>
      </c>
      <c r="J44" s="31" t="s">
        <v>149</v>
      </c>
      <c r="K44" s="31" t="s">
        <v>149</v>
      </c>
      <c r="L44" s="31" t="s">
        <v>149</v>
      </c>
      <c r="M44" s="31" t="s">
        <v>181</v>
      </c>
    </row>
    <row r="45" spans="2:13" s="29" customFormat="1" ht="43.2" x14ac:dyDescent="0.3">
      <c r="B45" s="29">
        <v>34</v>
      </c>
      <c r="C45" s="31" t="s">
        <v>182</v>
      </c>
      <c r="D45" s="31" t="s">
        <v>149</v>
      </c>
      <c r="E45" s="31" t="s">
        <v>149</v>
      </c>
      <c r="F45" s="31" t="s">
        <v>149</v>
      </c>
      <c r="G45" s="31" t="s">
        <v>149</v>
      </c>
      <c r="H45" s="31" t="s">
        <v>149</v>
      </c>
      <c r="I45" s="31" t="s">
        <v>149</v>
      </c>
      <c r="J45" s="31" t="s">
        <v>149</v>
      </c>
      <c r="K45" s="31" t="s">
        <v>149</v>
      </c>
      <c r="L45" s="31" t="s">
        <v>149</v>
      </c>
      <c r="M45" s="31" t="s">
        <v>183</v>
      </c>
    </row>
    <row r="46" spans="2:13" s="29" customFormat="1" ht="43.2" x14ac:dyDescent="0.3">
      <c r="B46" s="29">
        <v>35</v>
      </c>
      <c r="C46" s="31" t="s">
        <v>186</v>
      </c>
      <c r="D46" s="31" t="s">
        <v>149</v>
      </c>
      <c r="E46" s="31" t="s">
        <v>149</v>
      </c>
      <c r="F46" s="31" t="s">
        <v>149</v>
      </c>
      <c r="G46" s="31" t="s">
        <v>149</v>
      </c>
      <c r="H46" s="31" t="s">
        <v>149</v>
      </c>
      <c r="I46" s="31" t="s">
        <v>149</v>
      </c>
      <c r="J46" s="31" t="s">
        <v>149</v>
      </c>
      <c r="K46" s="31" t="s">
        <v>149</v>
      </c>
      <c r="L46" s="31" t="s">
        <v>149</v>
      </c>
      <c r="M46" s="61" t="s">
        <v>187</v>
      </c>
    </row>
    <row r="47" spans="2:13" s="29" customFormat="1" ht="28.8" x14ac:dyDescent="0.3">
      <c r="B47" s="29">
        <v>36</v>
      </c>
      <c r="C47" s="31" t="s">
        <v>188</v>
      </c>
      <c r="D47" s="31" t="s">
        <v>149</v>
      </c>
      <c r="E47" s="31" t="s">
        <v>149</v>
      </c>
      <c r="F47" s="31" t="s">
        <v>149</v>
      </c>
      <c r="G47" s="31" t="s">
        <v>149</v>
      </c>
      <c r="H47" s="31" t="s">
        <v>149</v>
      </c>
      <c r="I47" s="31" t="s">
        <v>149</v>
      </c>
      <c r="J47" s="31" t="s">
        <v>149</v>
      </c>
      <c r="K47" s="31" t="s">
        <v>149</v>
      </c>
      <c r="L47" s="31" t="s">
        <v>149</v>
      </c>
      <c r="M47" s="61" t="s">
        <v>189</v>
      </c>
    </row>
    <row r="48" spans="2:13" s="29" customFormat="1" ht="43.2" x14ac:dyDescent="0.3">
      <c r="B48" s="29">
        <v>37</v>
      </c>
      <c r="C48" s="31" t="s">
        <v>130</v>
      </c>
      <c r="D48" s="31" t="s">
        <v>149</v>
      </c>
      <c r="E48" s="31" t="s">
        <v>149</v>
      </c>
      <c r="F48" s="31" t="s">
        <v>149</v>
      </c>
      <c r="G48" s="31" t="s">
        <v>149</v>
      </c>
      <c r="H48" s="31" t="s">
        <v>149</v>
      </c>
      <c r="I48" s="31" t="s">
        <v>149</v>
      </c>
      <c r="J48" s="31" t="s">
        <v>149</v>
      </c>
      <c r="K48" s="31" t="s">
        <v>149</v>
      </c>
      <c r="L48" s="31" t="s">
        <v>149</v>
      </c>
      <c r="M48" s="58" t="s">
        <v>131</v>
      </c>
    </row>
    <row r="49" spans="2:13" s="29" customFormat="1" ht="43.2" x14ac:dyDescent="0.3">
      <c r="B49" s="29">
        <v>38</v>
      </c>
      <c r="C49" s="31" t="s">
        <v>132</v>
      </c>
      <c r="D49" s="31" t="s">
        <v>149</v>
      </c>
      <c r="E49" s="31" t="s">
        <v>149</v>
      </c>
      <c r="F49" s="31" t="s">
        <v>149</v>
      </c>
      <c r="G49" s="31" t="s">
        <v>149</v>
      </c>
      <c r="H49" s="31" t="s">
        <v>149</v>
      </c>
      <c r="I49" s="31" t="s">
        <v>149</v>
      </c>
      <c r="J49" s="31" t="s">
        <v>149</v>
      </c>
      <c r="K49" s="31" t="s">
        <v>149</v>
      </c>
      <c r="L49" s="31" t="s">
        <v>149</v>
      </c>
      <c r="M49" s="58" t="s">
        <v>133</v>
      </c>
    </row>
    <row r="50" spans="2:13" s="29" customFormat="1" ht="72" x14ac:dyDescent="0.3">
      <c r="B50" s="29">
        <v>39</v>
      </c>
      <c r="C50" s="31" t="s">
        <v>289</v>
      </c>
      <c r="D50" s="31" t="s">
        <v>149</v>
      </c>
      <c r="E50" s="31" t="s">
        <v>149</v>
      </c>
      <c r="F50" s="31" t="s">
        <v>149</v>
      </c>
      <c r="G50" s="31" t="s">
        <v>149</v>
      </c>
      <c r="H50" s="31" t="s">
        <v>149</v>
      </c>
      <c r="I50" s="31" t="s">
        <v>149</v>
      </c>
      <c r="J50" s="31" t="s">
        <v>149</v>
      </c>
      <c r="K50" s="31" t="s">
        <v>149</v>
      </c>
      <c r="L50" s="31" t="s">
        <v>149</v>
      </c>
      <c r="M50" s="125" t="s">
        <v>290</v>
      </c>
    </row>
    <row r="51" spans="2:13" s="29" customFormat="1" ht="57.6" x14ac:dyDescent="0.3">
      <c r="B51" s="29">
        <v>40</v>
      </c>
      <c r="C51" s="31" t="s">
        <v>192</v>
      </c>
      <c r="D51" s="31" t="s">
        <v>149</v>
      </c>
      <c r="E51" s="31" t="s">
        <v>149</v>
      </c>
      <c r="F51" s="31" t="s">
        <v>149</v>
      </c>
      <c r="G51" s="31" t="s">
        <v>149</v>
      </c>
      <c r="H51" s="31" t="s">
        <v>149</v>
      </c>
      <c r="I51" s="31" t="s">
        <v>149</v>
      </c>
      <c r="J51" s="31" t="s">
        <v>149</v>
      </c>
      <c r="K51" s="31" t="s">
        <v>149</v>
      </c>
      <c r="L51" s="31" t="s">
        <v>149</v>
      </c>
      <c r="M51" s="61" t="s">
        <v>193</v>
      </c>
    </row>
    <row r="52" spans="2:13" s="29" customFormat="1" ht="28.8" x14ac:dyDescent="0.3">
      <c r="B52" s="29">
        <v>41</v>
      </c>
      <c r="C52" s="31" t="s">
        <v>134</v>
      </c>
      <c r="D52" s="31" t="s">
        <v>149</v>
      </c>
      <c r="E52" s="31" t="s">
        <v>149</v>
      </c>
      <c r="F52" s="31" t="s">
        <v>149</v>
      </c>
      <c r="G52" s="31" t="s">
        <v>149</v>
      </c>
      <c r="H52" s="31" t="s">
        <v>149</v>
      </c>
      <c r="I52" s="31" t="s">
        <v>149</v>
      </c>
      <c r="J52" s="31" t="s">
        <v>149</v>
      </c>
      <c r="K52" s="31" t="s">
        <v>149</v>
      </c>
      <c r="L52" s="31" t="s">
        <v>149</v>
      </c>
      <c r="M52" s="58" t="s">
        <v>135</v>
      </c>
    </row>
    <row r="53" spans="2:13" s="29" customFormat="1" ht="43.2" x14ac:dyDescent="0.3">
      <c r="B53" s="29">
        <v>42</v>
      </c>
      <c r="C53" s="31" t="s">
        <v>136</v>
      </c>
      <c r="D53" s="31" t="s">
        <v>149</v>
      </c>
      <c r="E53" s="31" t="s">
        <v>149</v>
      </c>
      <c r="F53" s="31" t="s">
        <v>149</v>
      </c>
      <c r="G53" s="31" t="s">
        <v>149</v>
      </c>
      <c r="H53" s="31" t="s">
        <v>149</v>
      </c>
      <c r="I53" s="31" t="s">
        <v>149</v>
      </c>
      <c r="J53" s="31" t="s">
        <v>149</v>
      </c>
      <c r="K53" s="31" t="s">
        <v>149</v>
      </c>
      <c r="L53" s="31" t="s">
        <v>149</v>
      </c>
      <c r="M53" s="58" t="s">
        <v>137</v>
      </c>
    </row>
    <row r="54" spans="2:13" s="29" customFormat="1" ht="28.8" x14ac:dyDescent="0.3">
      <c r="B54" s="29">
        <v>43</v>
      </c>
      <c r="C54" s="31" t="s">
        <v>138</v>
      </c>
      <c r="D54" s="31" t="s">
        <v>149</v>
      </c>
      <c r="E54" s="31" t="s">
        <v>149</v>
      </c>
      <c r="F54" s="31" t="s">
        <v>149</v>
      </c>
      <c r="G54" s="31" t="s">
        <v>149</v>
      </c>
      <c r="H54" s="31" t="s">
        <v>149</v>
      </c>
      <c r="I54" s="31" t="s">
        <v>149</v>
      </c>
      <c r="J54" s="31" t="s">
        <v>149</v>
      </c>
      <c r="K54" s="31" t="s">
        <v>149</v>
      </c>
      <c r="L54" s="31" t="s">
        <v>149</v>
      </c>
      <c r="M54" s="58" t="s">
        <v>139</v>
      </c>
    </row>
    <row r="55" spans="2:13" s="29" customFormat="1" ht="43.2" x14ac:dyDescent="0.3">
      <c r="B55" s="29">
        <v>44</v>
      </c>
      <c r="C55" s="31" t="s">
        <v>194</v>
      </c>
      <c r="D55" s="31" t="s">
        <v>149</v>
      </c>
      <c r="E55" s="31" t="s">
        <v>149</v>
      </c>
      <c r="F55" s="31" t="s">
        <v>149</v>
      </c>
      <c r="G55" s="31" t="s">
        <v>149</v>
      </c>
      <c r="H55" s="31" t="s">
        <v>149</v>
      </c>
      <c r="I55" s="31" t="s">
        <v>149</v>
      </c>
      <c r="J55" s="31" t="s">
        <v>149</v>
      </c>
      <c r="K55" s="31" t="s">
        <v>149</v>
      </c>
      <c r="L55" s="31" t="s">
        <v>149</v>
      </c>
      <c r="M55" s="61" t="s">
        <v>195</v>
      </c>
    </row>
    <row r="56" spans="2:13" s="29" customFormat="1" ht="28.8" x14ac:dyDescent="0.3">
      <c r="B56" s="29">
        <v>45</v>
      </c>
      <c r="C56" s="31" t="s">
        <v>140</v>
      </c>
      <c r="D56" s="31" t="s">
        <v>149</v>
      </c>
      <c r="E56" s="31" t="s">
        <v>149</v>
      </c>
      <c r="F56" s="31" t="s">
        <v>149</v>
      </c>
      <c r="G56" s="31" t="s">
        <v>149</v>
      </c>
      <c r="H56" s="31" t="s">
        <v>149</v>
      </c>
      <c r="I56" s="31" t="s">
        <v>149</v>
      </c>
      <c r="J56" s="31" t="s">
        <v>149</v>
      </c>
      <c r="K56" s="31" t="s">
        <v>149</v>
      </c>
      <c r="L56" s="31" t="s">
        <v>149</v>
      </c>
      <c r="M56" s="58" t="s">
        <v>141</v>
      </c>
    </row>
    <row r="57" spans="2:13" s="29" customFormat="1" x14ac:dyDescent="0.3">
      <c r="B57" s="39"/>
      <c r="C57" s="39"/>
      <c r="D57" s="65"/>
      <c r="E57" s="65"/>
      <c r="F57" s="65"/>
      <c r="G57" s="65"/>
      <c r="H57" s="65"/>
      <c r="I57" s="65"/>
      <c r="J57" s="65"/>
      <c r="K57" s="65"/>
      <c r="L57" s="65"/>
      <c r="M57" s="39"/>
    </row>
    <row r="58" spans="2:13" s="29" customFormat="1" ht="43.2" x14ac:dyDescent="0.3">
      <c r="B58" s="29">
        <v>1</v>
      </c>
      <c r="C58" s="82" t="s">
        <v>400</v>
      </c>
      <c r="D58" s="3" t="s">
        <v>149</v>
      </c>
      <c r="E58" s="3" t="s">
        <v>149</v>
      </c>
      <c r="F58" s="3"/>
      <c r="G58" s="3"/>
      <c r="H58" s="3"/>
      <c r="I58" s="3"/>
      <c r="J58" s="3" t="s">
        <v>149</v>
      </c>
      <c r="K58" s="3" t="s">
        <v>149</v>
      </c>
      <c r="L58" s="3"/>
      <c r="M58" s="56" t="s">
        <v>296</v>
      </c>
    </row>
    <row r="59" spans="2:13" s="29" customFormat="1" x14ac:dyDescent="0.3">
      <c r="B59" s="39"/>
      <c r="C59" s="39"/>
      <c r="D59" s="65"/>
      <c r="E59" s="65"/>
      <c r="F59" s="65"/>
      <c r="G59" s="65"/>
      <c r="H59" s="65"/>
      <c r="I59" s="65"/>
      <c r="J59" s="65"/>
      <c r="K59" s="65"/>
      <c r="L59" s="65"/>
      <c r="M59" s="39"/>
    </row>
    <row r="60" spans="2:13" s="29" customFormat="1" ht="43.2" x14ac:dyDescent="0.3">
      <c r="B60" s="29">
        <v>1</v>
      </c>
      <c r="C60" s="82" t="s">
        <v>401</v>
      </c>
      <c r="D60" s="3" t="s">
        <v>149</v>
      </c>
      <c r="E60" s="3" t="s">
        <v>149</v>
      </c>
      <c r="F60" s="3"/>
      <c r="G60" s="3"/>
      <c r="H60" s="3"/>
      <c r="I60" s="3"/>
      <c r="J60" s="3" t="s">
        <v>149</v>
      </c>
      <c r="K60" s="3"/>
      <c r="L60" s="3"/>
      <c r="M60" s="58" t="s">
        <v>402</v>
      </c>
    </row>
    <row r="61" spans="2:13" s="29" customFormat="1" x14ac:dyDescent="0.3">
      <c r="B61" s="39"/>
      <c r="C61" s="39"/>
      <c r="D61" s="65"/>
      <c r="E61" s="65"/>
      <c r="F61" s="65"/>
      <c r="G61" s="65"/>
      <c r="H61" s="65"/>
      <c r="I61" s="65"/>
      <c r="J61" s="65"/>
      <c r="K61" s="65"/>
      <c r="L61" s="65"/>
      <c r="M61" s="39"/>
    </row>
    <row r="62" spans="2:13" s="29" customFormat="1" ht="28.8" x14ac:dyDescent="0.3">
      <c r="B62" s="29">
        <v>1</v>
      </c>
      <c r="C62" s="98" t="s">
        <v>260</v>
      </c>
      <c r="D62" s="3"/>
      <c r="E62" s="3"/>
      <c r="F62" s="3"/>
      <c r="G62" s="3"/>
      <c r="H62" s="3"/>
      <c r="I62" s="3"/>
      <c r="J62" s="3" t="s">
        <v>149</v>
      </c>
      <c r="K62" s="3" t="s">
        <v>149</v>
      </c>
      <c r="L62" s="3"/>
      <c r="M62" s="58" t="s">
        <v>261</v>
      </c>
    </row>
    <row r="63" spans="2:13" s="29" customFormat="1" ht="63" customHeight="1" x14ac:dyDescent="0.3">
      <c r="B63" s="29">
        <v>2</v>
      </c>
      <c r="C63" s="82" t="s">
        <v>403</v>
      </c>
      <c r="D63" s="3"/>
      <c r="E63" s="3"/>
      <c r="F63" s="3"/>
      <c r="G63" s="3"/>
      <c r="H63" s="3"/>
      <c r="I63" s="3"/>
      <c r="J63" s="3" t="s">
        <v>149</v>
      </c>
      <c r="K63" s="3" t="s">
        <v>149</v>
      </c>
      <c r="L63" s="3"/>
      <c r="M63" s="59" t="s">
        <v>404</v>
      </c>
    </row>
    <row r="64" spans="2:13" s="29" customFormat="1" ht="43.2" x14ac:dyDescent="0.3">
      <c r="B64" s="29">
        <v>3</v>
      </c>
      <c r="C64" s="82" t="s">
        <v>405</v>
      </c>
      <c r="D64" s="3" t="s">
        <v>149</v>
      </c>
      <c r="E64" s="3"/>
      <c r="F64" s="3"/>
      <c r="G64" s="3"/>
      <c r="H64" s="3"/>
      <c r="I64" s="3"/>
      <c r="J64" s="3" t="s">
        <v>149</v>
      </c>
      <c r="K64" s="3"/>
      <c r="L64" s="3"/>
      <c r="M64" s="59" t="s">
        <v>406</v>
      </c>
    </row>
    <row r="65" spans="4:12" s="29" customFormat="1" x14ac:dyDescent="0.3">
      <c r="D65" s="3"/>
      <c r="E65" s="3"/>
      <c r="F65" s="3"/>
      <c r="G65" s="3"/>
      <c r="H65" s="3"/>
      <c r="I65" s="3"/>
      <c r="J65" s="3"/>
      <c r="K65" s="3"/>
      <c r="L65" s="3"/>
    </row>
    <row r="66" spans="4:12" s="29" customFormat="1" x14ac:dyDescent="0.3">
      <c r="D66" s="3"/>
      <c r="E66" s="3"/>
      <c r="F66" s="3"/>
      <c r="G66" s="3"/>
      <c r="H66" s="3"/>
      <c r="I66" s="3"/>
      <c r="J66" s="3"/>
      <c r="K66" s="3"/>
      <c r="L66" s="3"/>
    </row>
    <row r="67" spans="4:12" s="29" customFormat="1" x14ac:dyDescent="0.3">
      <c r="D67" s="3"/>
      <c r="E67" s="3"/>
      <c r="F67" s="3"/>
      <c r="G67" s="3"/>
      <c r="H67" s="3"/>
      <c r="I67" s="3"/>
      <c r="J67" s="3"/>
      <c r="K67" s="3"/>
      <c r="L67" s="3"/>
    </row>
    <row r="68" spans="4:12" s="29" customFormat="1" x14ac:dyDescent="0.3">
      <c r="D68" s="3"/>
      <c r="E68" s="3"/>
      <c r="F68" s="3"/>
      <c r="G68" s="3"/>
      <c r="H68" s="3"/>
      <c r="I68" s="3"/>
      <c r="J68" s="3"/>
      <c r="K68" s="3"/>
      <c r="L68" s="3"/>
    </row>
    <row r="69" spans="4:12" s="29" customFormat="1" x14ac:dyDescent="0.3">
      <c r="D69" s="3"/>
      <c r="E69" s="3"/>
      <c r="F69" s="3"/>
      <c r="G69" s="3"/>
      <c r="H69" s="3"/>
      <c r="I69" s="3"/>
      <c r="J69" s="3"/>
      <c r="K69" s="3"/>
      <c r="L69" s="3"/>
    </row>
    <row r="70" spans="4:12" s="29" customFormat="1" x14ac:dyDescent="0.3">
      <c r="D70" s="3"/>
      <c r="E70" s="3"/>
      <c r="F70" s="3"/>
      <c r="G70" s="3"/>
      <c r="H70" s="3"/>
      <c r="I70" s="3"/>
      <c r="J70" s="3"/>
      <c r="K70" s="3"/>
      <c r="L70" s="3"/>
    </row>
    <row r="71" spans="4:12" s="29" customFormat="1" x14ac:dyDescent="0.3">
      <c r="D71" s="3"/>
      <c r="E71" s="3"/>
      <c r="F71" s="3"/>
      <c r="G71" s="3"/>
      <c r="H71" s="3"/>
      <c r="I71" s="3"/>
      <c r="J71" s="3"/>
      <c r="K71" s="3"/>
      <c r="L71" s="3"/>
    </row>
    <row r="72" spans="4:12" s="29" customFormat="1" x14ac:dyDescent="0.3">
      <c r="D72" s="3"/>
      <c r="E72" s="3"/>
      <c r="F72" s="3"/>
      <c r="G72" s="3"/>
      <c r="H72" s="3"/>
      <c r="I72" s="3"/>
      <c r="J72" s="3"/>
      <c r="K72" s="3"/>
      <c r="L72" s="3"/>
    </row>
    <row r="73" spans="4:12" s="29" customFormat="1" x14ac:dyDescent="0.3">
      <c r="D73" s="3"/>
      <c r="E73" s="3"/>
      <c r="F73" s="3"/>
      <c r="G73" s="3"/>
      <c r="H73" s="3"/>
      <c r="I73" s="3"/>
      <c r="J73" s="3"/>
      <c r="K73" s="3"/>
      <c r="L73" s="3"/>
    </row>
    <row r="74" spans="4:12" s="29" customFormat="1" x14ac:dyDescent="0.3">
      <c r="D74" s="3"/>
      <c r="E74" s="3"/>
      <c r="F74" s="3"/>
      <c r="G74" s="3"/>
      <c r="H74" s="3"/>
      <c r="I74" s="3"/>
      <c r="J74" s="3"/>
      <c r="K74" s="3"/>
      <c r="L74" s="3"/>
    </row>
    <row r="75" spans="4:12" s="29" customFormat="1" x14ac:dyDescent="0.3">
      <c r="D75" s="3"/>
      <c r="E75" s="3"/>
      <c r="F75" s="3"/>
      <c r="G75" s="3"/>
      <c r="H75" s="3"/>
      <c r="I75" s="3"/>
      <c r="J75" s="3"/>
      <c r="K75" s="3"/>
      <c r="L75" s="3"/>
    </row>
    <row r="76" spans="4:12" s="29" customFormat="1" x14ac:dyDescent="0.3">
      <c r="D76" s="3"/>
      <c r="E76" s="3"/>
      <c r="F76" s="3"/>
      <c r="G76" s="3"/>
      <c r="H76" s="3"/>
      <c r="I76" s="3"/>
      <c r="J76" s="3"/>
      <c r="K76" s="3"/>
      <c r="L76" s="3"/>
    </row>
    <row r="77" spans="4:12" s="29" customFormat="1" x14ac:dyDescent="0.3">
      <c r="D77" s="3"/>
      <c r="E77" s="3"/>
      <c r="F77" s="3"/>
      <c r="G77" s="3"/>
      <c r="H77" s="3"/>
      <c r="I77" s="3"/>
      <c r="J77" s="3"/>
      <c r="K77" s="3"/>
      <c r="L77" s="3"/>
    </row>
    <row r="78" spans="4:12" s="29" customFormat="1" x14ac:dyDescent="0.3">
      <c r="D78" s="3"/>
      <c r="E78" s="3"/>
      <c r="F78" s="3"/>
      <c r="G78" s="3"/>
      <c r="H78" s="3"/>
      <c r="I78" s="3"/>
      <c r="J78" s="3"/>
      <c r="K78" s="3"/>
      <c r="L78" s="3"/>
    </row>
    <row r="79" spans="4:12" s="29" customFormat="1" x14ac:dyDescent="0.3">
      <c r="D79" s="3"/>
      <c r="E79" s="3"/>
      <c r="F79" s="3"/>
      <c r="G79" s="3"/>
      <c r="H79" s="3"/>
      <c r="I79" s="3"/>
      <c r="J79" s="3"/>
      <c r="K79" s="3"/>
      <c r="L79" s="3"/>
    </row>
    <row r="80" spans="4:12" s="29" customFormat="1" x14ac:dyDescent="0.3">
      <c r="D80" s="3"/>
      <c r="E80" s="3"/>
      <c r="F80" s="3"/>
      <c r="G80" s="3"/>
      <c r="H80" s="3"/>
      <c r="I80" s="3"/>
      <c r="J80" s="3"/>
      <c r="K80" s="3"/>
      <c r="L80" s="3"/>
    </row>
    <row r="81" spans="4:12" s="29" customFormat="1" x14ac:dyDescent="0.3">
      <c r="D81" s="3"/>
      <c r="E81" s="3"/>
      <c r="F81" s="3"/>
      <c r="G81" s="3"/>
      <c r="H81" s="3"/>
      <c r="I81" s="3"/>
      <c r="J81" s="3"/>
      <c r="K81" s="3"/>
      <c r="L81" s="3"/>
    </row>
    <row r="82" spans="4:12" s="29" customFormat="1" x14ac:dyDescent="0.3">
      <c r="D82" s="3"/>
      <c r="E82" s="3"/>
      <c r="F82" s="3"/>
      <c r="G82" s="3"/>
      <c r="H82" s="3"/>
      <c r="I82" s="3"/>
      <c r="J82" s="3"/>
      <c r="K82" s="3"/>
      <c r="L82" s="3"/>
    </row>
  </sheetData>
  <mergeCells count="2">
    <mergeCell ref="C7:C8"/>
    <mergeCell ref="D3:L3"/>
  </mergeCells>
  <hyperlinks>
    <hyperlink ref="C15" r:id="rId1" location="capacitacion" xr:uid="{68E6F39E-0ED3-4E27-A55D-6B5519F529B4}"/>
    <hyperlink ref="C37" r:id="rId2" xr:uid="{DA578859-429C-47F0-84EF-15A3EE9DE585}"/>
    <hyperlink ref="C20" r:id="rId3" xr:uid="{051FA8A6-BCD0-4CD2-B2CF-0C637632C533}"/>
    <hyperlink ref="C40" r:id="rId4" location="1570112086149-de895ac7-a87c" xr:uid="{746D8222-9774-4F60-A09D-EFD5D8FD867A}"/>
    <hyperlink ref="C14" r:id="rId5" xr:uid="{7E75A19F-BFC1-4C48-8B00-9E0FAB7B0ACB}"/>
    <hyperlink ref="C27" r:id="rId6" xr:uid="{EC85D45C-C65C-4533-82F1-3C98F572B4FC}"/>
    <hyperlink ref="C17" r:id="rId7" xr:uid="{4D8849B9-C4BB-4810-BDBB-18DD2A57A9B7}"/>
    <hyperlink ref="C16" r:id="rId8" xr:uid="{21F40836-C28C-4DC3-B078-9B8AC86CDBD9}"/>
    <hyperlink ref="C21" r:id="rId9" xr:uid="{A4467CCF-B0DB-4223-8D79-604B94074905}"/>
    <hyperlink ref="C22" r:id="rId10" xr:uid="{DA42AA07-2762-4577-8098-B2F3187EF727}"/>
    <hyperlink ref="C26" r:id="rId11" xr:uid="{02CFB210-B3B0-44C3-B1E1-7182B04DA1BB}"/>
    <hyperlink ref="C41" r:id="rId12" location="1570052538100-3c2cf7a3-8917" xr:uid="{E2E77B15-A2AF-4A06-8A1C-C4F6F1BB0F29}"/>
    <hyperlink ref="C12" r:id="rId13" xr:uid="{68B4921E-8819-4B4F-B4B5-6E587D9190DB}"/>
    <hyperlink ref="C18" r:id="rId14" location="1559325573466-1284efd5-2d1b" xr:uid="{92EF0D64-13BE-4DAF-AD78-92D7371D5858}"/>
    <hyperlink ref="C23:C30" r:id="rId15" display="https://portal.sat.gob.gt/portal/libre-acceso-la-informacion-publica/ley-organica-del-presupuesto-2017-y-sus-reformas/" xr:uid="{B974BDC2-9CED-4AB6-90AD-10952885C501}"/>
    <hyperlink ref="C23" r:id="rId16" xr:uid="{95D4E433-C499-4EC4-9E85-5141689FCDFD}"/>
    <hyperlink ref="C34" r:id="rId17" location="1571412473853-2ed0b43f-287f" xr:uid="{94003F27-1F84-4CF6-9911-73A712A8A47A}"/>
    <hyperlink ref="C24" r:id="rId18" xr:uid="{36003B77-E1BF-40F5-9798-59469CBC80B9}"/>
    <hyperlink ref="C19" r:id="rId19" xr:uid="{17D01576-51C4-4680-A926-899E88B4BF0B}"/>
    <hyperlink ref="C39" r:id="rId20" location="1570112075238-edc16f12-13da" xr:uid="{A004748E-0414-495F-A728-1D7BB54DAABF}"/>
    <hyperlink ref="C30" r:id="rId21" location="1528240031207-3ce9866a-9863" xr:uid="{F90DDFD9-D0F0-4FBF-8317-A1F80697FB40}"/>
    <hyperlink ref="C33" r:id="rId22" location="1652906579852-40d8e272-35bb" xr:uid="{FEB0538B-1466-4BBD-B7FB-371147D5BFBE}"/>
    <hyperlink ref="C32" r:id="rId23" location="1674938805376-f6c4abc5-cfda" xr:uid="{9C64CB65-C418-4E50-BCD2-4CEDBD2049B6}"/>
    <hyperlink ref="C31" r:id="rId24" xr:uid="{97C74D10-E326-419C-9090-A198FF034C53}"/>
    <hyperlink ref="C25" r:id="rId25" xr:uid="{51F48673-8743-44FA-9359-D781F51811CD}"/>
    <hyperlink ref="C36" r:id="rId26" xr:uid="{C6CE1936-BCED-4256-BFA1-1F7D59938129}"/>
    <hyperlink ref="C35" r:id="rId27" xr:uid="{5C1190F4-2F68-43D1-A5E2-BD148F8E410C}"/>
    <hyperlink ref="C38" r:id="rId28" location="1570112033454-be3581a4-383a" xr:uid="{CF402DCE-5390-40ED-823F-915DDA51805E}"/>
    <hyperlink ref="C47" r:id="rId29" location="1606494573178-22f9effd-91cc" xr:uid="{9F814AD7-C810-4A50-BE6F-39611F53FB21}"/>
    <hyperlink ref="C43" r:id="rId30" location="1608063945646-f9ebd644-65ff" xr:uid="{E9F49F6B-FB15-446D-94F6-2514174CAD2D}"/>
    <hyperlink ref="C56" r:id="rId31" location="1662393570133-d90819b2-32d3" xr:uid="{07C24D7F-C0A5-47F9-AEDB-E5403DAF8613}"/>
    <hyperlink ref="C49" r:id="rId32" location="1541722263997-e0d7cba3-7daf" xr:uid="{FDBB1EC1-17AF-4B4D-8908-56CC83CE6F7B}"/>
    <hyperlink ref="C52" r:id="rId33" location="1541722264551-ab829ede-22f8" xr:uid="{77C9409B-75CE-40C6-A69A-F40C876DE844}"/>
    <hyperlink ref="C42" r:id="rId34" location="1542142398181-8db4844a-6760" xr:uid="{EFBC67EF-D025-4C09-806B-01D444C1EAD1}"/>
    <hyperlink ref="C46" r:id="rId35" location="1544742215300-58052f9f-10b1" xr:uid="{732FBD1A-7386-4586-B4A5-6DD0AD0ADBFA}"/>
    <hyperlink ref="C53" r:id="rId36" location="1541776381173-61f2f55a-46dc" xr:uid="{99839E13-FDFD-482C-ABAD-2569C7C5D064}"/>
    <hyperlink ref="C55" r:id="rId37" location="1642106578727-c83d17c4-34da" xr:uid="{C67B1318-CFEB-4112-BD4F-3DB3EF3CB099}"/>
    <hyperlink ref="C51" r:id="rId38" location="1541722264271-487e21fd-d904" xr:uid="{A2B8E061-61EF-46B0-ABC4-3022D4A917A9}"/>
    <hyperlink ref="C45" r:id="rId39" location="1541721863086-9194f94d-dd70" xr:uid="{07A6E75B-A728-4505-B83F-6AFD36FB3586}"/>
    <hyperlink ref="C44" r:id="rId40" location="1541718919329-b32e6928-0a05" xr:uid="{ADD3840F-E1ED-48CD-92DD-7B00FA4EEF13}"/>
    <hyperlink ref="C50" r:id="rId41" location="1541780077723-c74e470e-b935" xr:uid="{BD2E8622-8E56-4FFF-AF96-AF3C18741611}"/>
    <hyperlink ref="C13" r:id="rId42" xr:uid="{B83DDEBC-4C08-48C3-810C-10B9BC2CA4D1}"/>
    <hyperlink ref="C28" r:id="rId43" xr:uid="{9ADB7688-9C5A-46F2-9340-669CB7990107}"/>
    <hyperlink ref="C29" r:id="rId44" xr:uid="{94435C97-22FB-4344-BBEA-5B274395AF0E}"/>
    <hyperlink ref="C58" r:id="rId45" xr:uid="{1A23BCC4-2BB7-4071-940D-9CEAADEA16C9}"/>
    <hyperlink ref="C60" r:id="rId46" xr:uid="{AABDC820-81B4-465E-A366-B7EB56190F7B}"/>
    <hyperlink ref="C64" r:id="rId47" xr:uid="{B5832771-B467-4EE4-8A4A-AC89EC90E1BD}"/>
    <hyperlink ref="C63" r:id="rId48" xr:uid="{D9D35D78-8076-4DCE-A339-BD3298ABEF91}"/>
    <hyperlink ref="C62" r:id="rId49" xr:uid="{61152C7E-34A2-4B8D-8CEE-8EB996C5202F}"/>
  </hyperlinks>
  <pageMargins left="0.75" right="0.75" top="1" bottom="1" header="0.5" footer="0.5"/>
  <tableParts count="1">
    <tablePart r:id="rId5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35E1-7606-47D9-B640-0C9B4851482B}">
  <dimension ref="A1:H32"/>
  <sheetViews>
    <sheetView topLeftCell="A19" workbookViewId="0">
      <selection activeCell="B7" sqref="B7"/>
    </sheetView>
  </sheetViews>
  <sheetFormatPr baseColWidth="10" defaultColWidth="8.88671875" defaultRowHeight="14.4" x14ac:dyDescent="0.3"/>
  <cols>
    <col min="1" max="1" width="2.33203125" customWidth="1"/>
    <col min="2" max="2" width="6.109375" bestFit="1" customWidth="1"/>
    <col min="3" max="3" width="85.6640625" customWidth="1"/>
    <col min="4" max="7" width="15" style="21" customWidth="1"/>
    <col min="8" max="8" width="86.6640625" style="21" customWidth="1"/>
  </cols>
  <sheetData>
    <row r="1" spans="1:8" s="29" customFormat="1" x14ac:dyDescent="0.3"/>
    <row r="2" spans="1:8" s="29" customFormat="1" ht="45" customHeight="1" x14ac:dyDescent="0.3">
      <c r="C2" s="48" t="s">
        <v>94</v>
      </c>
      <c r="D2" s="49" t="s">
        <v>48</v>
      </c>
      <c r="E2" s="49" t="s">
        <v>49</v>
      </c>
      <c r="F2" s="49" t="s">
        <v>50</v>
      </c>
      <c r="G2" s="50" t="s">
        <v>407</v>
      </c>
      <c r="H2" s="69"/>
    </row>
    <row r="3" spans="1:8" s="29" customFormat="1" x14ac:dyDescent="0.3">
      <c r="C3" s="73" t="s">
        <v>305</v>
      </c>
      <c r="D3" s="153">
        <f>+C5</f>
        <v>26</v>
      </c>
      <c r="E3" s="153"/>
      <c r="F3" s="153"/>
      <c r="G3" s="153"/>
      <c r="H3" s="71"/>
    </row>
    <row r="4" spans="1:8" s="29" customFormat="1" x14ac:dyDescent="0.3"/>
    <row r="5" spans="1:8" s="29" customFormat="1" x14ac:dyDescent="0.3">
      <c r="C5" s="29">
        <f>COUNTIF(C7:C32,"*")</f>
        <v>26</v>
      </c>
      <c r="D5" s="29">
        <f>COUNTIF(D7:D32,"*")</f>
        <v>26</v>
      </c>
      <c r="E5" s="29">
        <f>COUNTIF(E7:E32,"*")</f>
        <v>26</v>
      </c>
      <c r="F5" s="29">
        <f>COUNTIF(F7:F32,"*")</f>
        <v>26</v>
      </c>
      <c r="G5" s="29">
        <f>COUNTIF(G7:G32,"*")</f>
        <v>26</v>
      </c>
    </row>
    <row r="6" spans="1:8" s="29" customFormat="1" ht="41.4" x14ac:dyDescent="0.3">
      <c r="A6" s="72"/>
      <c r="B6" s="2" t="s">
        <v>0</v>
      </c>
      <c r="C6" s="2" t="s">
        <v>96</v>
      </c>
      <c r="D6" s="69" t="s">
        <v>48</v>
      </c>
      <c r="E6" s="69" t="s">
        <v>49</v>
      </c>
      <c r="F6" s="69" t="s">
        <v>50</v>
      </c>
      <c r="G6" s="69" t="s">
        <v>407</v>
      </c>
      <c r="H6" s="68" t="s">
        <v>97</v>
      </c>
    </row>
    <row r="7" spans="1:8" s="29" customFormat="1" ht="43.2" x14ac:dyDescent="0.3">
      <c r="B7" s="3">
        <v>1</v>
      </c>
      <c r="C7" s="101" t="s">
        <v>102</v>
      </c>
      <c r="D7" s="3" t="s">
        <v>149</v>
      </c>
      <c r="E7" s="3" t="s">
        <v>149</v>
      </c>
      <c r="F7" s="3" t="s">
        <v>149</v>
      </c>
      <c r="G7" s="3" t="s">
        <v>149</v>
      </c>
      <c r="H7" s="58" t="s">
        <v>151</v>
      </c>
    </row>
    <row r="8" spans="1:8" s="29" customFormat="1" ht="43.2" x14ac:dyDescent="0.3">
      <c r="B8" s="3">
        <v>2</v>
      </c>
      <c r="C8" s="3" t="s">
        <v>152</v>
      </c>
      <c r="D8" s="3" t="s">
        <v>149</v>
      </c>
      <c r="E8" s="3" t="s">
        <v>149</v>
      </c>
      <c r="F8" s="3" t="s">
        <v>149</v>
      </c>
      <c r="G8" s="3" t="s">
        <v>149</v>
      </c>
      <c r="H8" s="124" t="s">
        <v>249</v>
      </c>
    </row>
    <row r="9" spans="1:8" s="29" customFormat="1" ht="28.8" x14ac:dyDescent="0.3">
      <c r="B9" s="3">
        <v>3</v>
      </c>
      <c r="C9" s="77" t="s">
        <v>156</v>
      </c>
      <c r="D9" s="3" t="s">
        <v>149</v>
      </c>
      <c r="E9" s="3" t="s">
        <v>149</v>
      </c>
      <c r="F9" s="3" t="s">
        <v>149</v>
      </c>
      <c r="G9" s="3" t="s">
        <v>149</v>
      </c>
      <c r="H9" s="58" t="s">
        <v>157</v>
      </c>
    </row>
    <row r="10" spans="1:8" s="29" customFormat="1" ht="43.2" x14ac:dyDescent="0.3">
      <c r="B10" s="3">
        <v>4</v>
      </c>
      <c r="C10" s="75" t="s">
        <v>104</v>
      </c>
      <c r="D10" s="3" t="s">
        <v>149</v>
      </c>
      <c r="E10" s="3" t="s">
        <v>149</v>
      </c>
      <c r="F10" s="3" t="s">
        <v>149</v>
      </c>
      <c r="G10" s="3" t="s">
        <v>149</v>
      </c>
      <c r="H10" s="58" t="s">
        <v>408</v>
      </c>
    </row>
    <row r="11" spans="1:8" s="29" customFormat="1" ht="43.2" x14ac:dyDescent="0.3">
      <c r="B11" s="3">
        <v>5</v>
      </c>
      <c r="C11" s="76" t="s">
        <v>409</v>
      </c>
      <c r="D11" s="3" t="s">
        <v>149</v>
      </c>
      <c r="E11" s="3" t="s">
        <v>149</v>
      </c>
      <c r="F11" s="3" t="s">
        <v>149</v>
      </c>
      <c r="G11" s="3" t="s">
        <v>149</v>
      </c>
      <c r="H11" s="124" t="s">
        <v>410</v>
      </c>
    </row>
    <row r="12" spans="1:8" s="29" customFormat="1" ht="43.2" x14ac:dyDescent="0.3">
      <c r="B12" s="3">
        <v>6</v>
      </c>
      <c r="C12" s="76" t="s">
        <v>411</v>
      </c>
      <c r="D12" s="3" t="s">
        <v>149</v>
      </c>
      <c r="E12" s="3" t="s">
        <v>149</v>
      </c>
      <c r="F12" s="3" t="s">
        <v>149</v>
      </c>
      <c r="G12" s="3" t="s">
        <v>149</v>
      </c>
      <c r="H12" s="58" t="s">
        <v>111</v>
      </c>
    </row>
    <row r="13" spans="1:8" s="29" customFormat="1" ht="28.8" x14ac:dyDescent="0.3">
      <c r="B13" s="3">
        <v>7</v>
      </c>
      <c r="C13" s="78" t="s">
        <v>214</v>
      </c>
      <c r="D13" s="3" t="s">
        <v>149</v>
      </c>
      <c r="E13" s="3" t="s">
        <v>149</v>
      </c>
      <c r="F13" s="3" t="s">
        <v>149</v>
      </c>
      <c r="G13" s="3" t="s">
        <v>149</v>
      </c>
      <c r="H13" s="124" t="s">
        <v>412</v>
      </c>
    </row>
    <row r="14" spans="1:8" s="29" customFormat="1" ht="28.8" x14ac:dyDescent="0.3">
      <c r="B14" s="3">
        <v>8</v>
      </c>
      <c r="C14" s="78" t="s">
        <v>212</v>
      </c>
      <c r="D14" s="3" t="s">
        <v>149</v>
      </c>
      <c r="E14" s="3" t="s">
        <v>149</v>
      </c>
      <c r="F14" s="3" t="s">
        <v>149</v>
      </c>
      <c r="G14" s="3" t="s">
        <v>149</v>
      </c>
      <c r="H14" s="58" t="s">
        <v>413</v>
      </c>
    </row>
    <row r="15" spans="1:8" s="29" customFormat="1" ht="28.8" x14ac:dyDescent="0.3">
      <c r="B15" s="3">
        <v>9</v>
      </c>
      <c r="C15" s="77" t="s">
        <v>112</v>
      </c>
      <c r="D15" s="3" t="s">
        <v>149</v>
      </c>
      <c r="E15" s="3" t="s">
        <v>149</v>
      </c>
      <c r="F15" s="3" t="s">
        <v>149</v>
      </c>
      <c r="G15" s="3" t="s">
        <v>149</v>
      </c>
      <c r="H15" s="58" t="s">
        <v>414</v>
      </c>
    </row>
    <row r="16" spans="1:8" s="29" customFormat="1" ht="43.2" x14ac:dyDescent="0.3">
      <c r="B16" s="3">
        <v>10</v>
      </c>
      <c r="C16" s="77" t="s">
        <v>234</v>
      </c>
      <c r="D16" s="3" t="s">
        <v>149</v>
      </c>
      <c r="E16" s="3" t="s">
        <v>149</v>
      </c>
      <c r="F16" s="3" t="s">
        <v>149</v>
      </c>
      <c r="G16" s="3" t="s">
        <v>149</v>
      </c>
      <c r="H16" s="134" t="s">
        <v>415</v>
      </c>
    </row>
    <row r="17" spans="2:8" s="29" customFormat="1" ht="43.2" x14ac:dyDescent="0.3">
      <c r="B17" s="3">
        <v>11</v>
      </c>
      <c r="C17" s="77" t="s">
        <v>114</v>
      </c>
      <c r="D17" s="3" t="s">
        <v>149</v>
      </c>
      <c r="E17" s="3" t="s">
        <v>149</v>
      </c>
      <c r="F17" s="3" t="s">
        <v>149</v>
      </c>
      <c r="G17" s="3" t="s">
        <v>149</v>
      </c>
      <c r="H17" s="58" t="s">
        <v>236</v>
      </c>
    </row>
    <row r="18" spans="2:8" s="29" customFormat="1" ht="43.2" x14ac:dyDescent="0.3">
      <c r="B18" s="3">
        <v>12</v>
      </c>
      <c r="C18" s="77" t="s">
        <v>237</v>
      </c>
      <c r="D18" s="3" t="s">
        <v>149</v>
      </c>
      <c r="E18" s="3" t="s">
        <v>149</v>
      </c>
      <c r="F18" s="3" t="s">
        <v>149</v>
      </c>
      <c r="G18" s="3" t="s">
        <v>149</v>
      </c>
      <c r="H18" s="137" t="s">
        <v>416</v>
      </c>
    </row>
    <row r="19" spans="2:8" s="29" customFormat="1" ht="43.2" x14ac:dyDescent="0.3">
      <c r="B19" s="3">
        <v>13</v>
      </c>
      <c r="C19" s="76" t="s">
        <v>267</v>
      </c>
      <c r="D19" s="3" t="s">
        <v>149</v>
      </c>
      <c r="E19" s="3" t="s">
        <v>149</v>
      </c>
      <c r="F19" s="3" t="s">
        <v>149</v>
      </c>
      <c r="G19" s="3" t="s">
        <v>149</v>
      </c>
      <c r="H19" s="31" t="s">
        <v>268</v>
      </c>
    </row>
    <row r="20" spans="2:8" s="29" customFormat="1" ht="49.5" customHeight="1" x14ac:dyDescent="0.3">
      <c r="B20" s="3">
        <v>14</v>
      </c>
      <c r="C20" s="76" t="s">
        <v>265</v>
      </c>
      <c r="D20" s="3" t="s">
        <v>149</v>
      </c>
      <c r="E20" s="3" t="s">
        <v>149</v>
      </c>
      <c r="F20" s="3" t="s">
        <v>149</v>
      </c>
      <c r="G20" s="3" t="s">
        <v>149</v>
      </c>
      <c r="H20" s="125" t="s">
        <v>266</v>
      </c>
    </row>
    <row r="21" spans="2:8" s="29" customFormat="1" ht="43.2" x14ac:dyDescent="0.3">
      <c r="B21" s="3">
        <v>15</v>
      </c>
      <c r="C21" s="76" t="s">
        <v>269</v>
      </c>
      <c r="D21" s="3" t="s">
        <v>149</v>
      </c>
      <c r="E21" s="3" t="s">
        <v>149</v>
      </c>
      <c r="F21" s="3" t="s">
        <v>149</v>
      </c>
      <c r="G21" s="3" t="s">
        <v>149</v>
      </c>
      <c r="H21" s="125" t="s">
        <v>270</v>
      </c>
    </row>
    <row r="22" spans="2:8" s="29" customFormat="1" ht="43.2" x14ac:dyDescent="0.3">
      <c r="B22" s="3">
        <v>16</v>
      </c>
      <c r="C22" s="75" t="s">
        <v>316</v>
      </c>
      <c r="D22" s="3" t="s">
        <v>149</v>
      </c>
      <c r="E22" s="3" t="s">
        <v>149</v>
      </c>
      <c r="F22" s="3" t="s">
        <v>149</v>
      </c>
      <c r="G22" s="3" t="s">
        <v>149</v>
      </c>
      <c r="H22" s="58" t="s">
        <v>417</v>
      </c>
    </row>
    <row r="23" spans="2:8" s="29" customFormat="1" ht="28.8" x14ac:dyDescent="0.3">
      <c r="B23" s="3">
        <v>17</v>
      </c>
      <c r="C23" s="76" t="s">
        <v>188</v>
      </c>
      <c r="D23" s="3" t="s">
        <v>149</v>
      </c>
      <c r="E23" s="3" t="s">
        <v>149</v>
      </c>
      <c r="F23" s="3" t="s">
        <v>149</v>
      </c>
      <c r="G23" s="3" t="s">
        <v>149</v>
      </c>
      <c r="H23" s="61" t="s">
        <v>189</v>
      </c>
    </row>
    <row r="24" spans="2:8" s="29" customFormat="1" ht="43.2" x14ac:dyDescent="0.3">
      <c r="B24" s="3">
        <v>18</v>
      </c>
      <c r="C24" s="80" t="s">
        <v>186</v>
      </c>
      <c r="D24" s="3" t="s">
        <v>149</v>
      </c>
      <c r="E24" s="3" t="s">
        <v>149</v>
      </c>
      <c r="F24" s="3" t="s">
        <v>149</v>
      </c>
      <c r="G24" s="3" t="s">
        <v>149</v>
      </c>
      <c r="H24" s="61" t="s">
        <v>187</v>
      </c>
    </row>
    <row r="25" spans="2:8" s="29" customFormat="1" ht="43.2" x14ac:dyDescent="0.3">
      <c r="B25" s="3">
        <v>19</v>
      </c>
      <c r="C25" s="3" t="s">
        <v>418</v>
      </c>
      <c r="D25" s="3" t="s">
        <v>149</v>
      </c>
      <c r="E25" s="3" t="s">
        <v>149</v>
      </c>
      <c r="F25" s="3" t="s">
        <v>149</v>
      </c>
      <c r="G25" s="3" t="s">
        <v>149</v>
      </c>
      <c r="H25" s="31" t="s">
        <v>185</v>
      </c>
    </row>
    <row r="26" spans="2:8" s="29" customFormat="1" ht="43.2" x14ac:dyDescent="0.3">
      <c r="B26" s="3">
        <v>20</v>
      </c>
      <c r="C26" s="78" t="s">
        <v>182</v>
      </c>
      <c r="D26" s="3" t="s">
        <v>149</v>
      </c>
      <c r="E26" s="3" t="s">
        <v>149</v>
      </c>
      <c r="F26" s="3" t="s">
        <v>149</v>
      </c>
      <c r="G26" s="3" t="s">
        <v>149</v>
      </c>
      <c r="H26" s="31" t="s">
        <v>183</v>
      </c>
    </row>
    <row r="27" spans="2:8" s="29" customFormat="1" ht="28.8" x14ac:dyDescent="0.3">
      <c r="B27" s="3">
        <v>21</v>
      </c>
      <c r="C27" s="122" t="s">
        <v>419</v>
      </c>
      <c r="D27" s="3" t="s">
        <v>149</v>
      </c>
      <c r="E27" s="3" t="s">
        <v>149</v>
      </c>
      <c r="F27" s="3" t="s">
        <v>149</v>
      </c>
      <c r="G27" s="3" t="s">
        <v>149</v>
      </c>
      <c r="H27" s="58" t="s">
        <v>420</v>
      </c>
    </row>
    <row r="28" spans="2:8" s="29" customFormat="1" ht="43.2" x14ac:dyDescent="0.3">
      <c r="B28" s="3">
        <v>22</v>
      </c>
      <c r="C28" s="81" t="s">
        <v>130</v>
      </c>
      <c r="D28" s="3" t="s">
        <v>149</v>
      </c>
      <c r="E28" s="3" t="s">
        <v>149</v>
      </c>
      <c r="F28" s="3" t="s">
        <v>149</v>
      </c>
      <c r="G28" s="3" t="s">
        <v>149</v>
      </c>
      <c r="H28" s="58" t="s">
        <v>131</v>
      </c>
    </row>
    <row r="29" spans="2:8" s="29" customFormat="1" ht="28.8" x14ac:dyDescent="0.3">
      <c r="B29" s="3">
        <v>23</v>
      </c>
      <c r="C29" s="79" t="s">
        <v>138</v>
      </c>
      <c r="D29" s="3" t="s">
        <v>149</v>
      </c>
      <c r="E29" s="3" t="s">
        <v>149</v>
      </c>
      <c r="F29" s="3" t="s">
        <v>149</v>
      </c>
      <c r="G29" s="3" t="s">
        <v>149</v>
      </c>
      <c r="H29" s="58" t="s">
        <v>139</v>
      </c>
    </row>
    <row r="30" spans="2:8" s="29" customFormat="1" ht="28.8" x14ac:dyDescent="0.3">
      <c r="B30" s="3">
        <v>24</v>
      </c>
      <c r="C30" s="76" t="s">
        <v>140</v>
      </c>
      <c r="D30" s="3" t="s">
        <v>149</v>
      </c>
      <c r="E30" s="3" t="s">
        <v>149</v>
      </c>
      <c r="F30" s="3" t="s">
        <v>149</v>
      </c>
      <c r="G30" s="3" t="s">
        <v>149</v>
      </c>
      <c r="H30" s="58" t="s">
        <v>141</v>
      </c>
    </row>
    <row r="31" spans="2:8" s="29" customFormat="1" ht="57.6" x14ac:dyDescent="0.3">
      <c r="B31" s="3">
        <v>25</v>
      </c>
      <c r="C31" s="76" t="s">
        <v>192</v>
      </c>
      <c r="D31" s="3" t="s">
        <v>149</v>
      </c>
      <c r="E31" s="3" t="s">
        <v>149</v>
      </c>
      <c r="F31" s="3" t="s">
        <v>149</v>
      </c>
      <c r="G31" s="3" t="s">
        <v>149</v>
      </c>
      <c r="H31" s="61" t="s">
        <v>193</v>
      </c>
    </row>
    <row r="32" spans="2:8" s="29" customFormat="1" ht="42.75" customHeight="1" x14ac:dyDescent="0.3">
      <c r="B32" s="3">
        <v>26</v>
      </c>
      <c r="C32" s="76" t="s">
        <v>132</v>
      </c>
      <c r="D32" s="3" t="s">
        <v>149</v>
      </c>
      <c r="E32" s="3" t="s">
        <v>149</v>
      </c>
      <c r="F32" s="3" t="s">
        <v>149</v>
      </c>
      <c r="G32" s="3" t="s">
        <v>149</v>
      </c>
      <c r="H32" s="58" t="s">
        <v>133</v>
      </c>
    </row>
  </sheetData>
  <mergeCells count="1">
    <mergeCell ref="D3:G3"/>
  </mergeCells>
  <hyperlinks>
    <hyperlink ref="C24" r:id="rId1" location="1544742215300-58052f9f-10b1" xr:uid="{E4BB7842-4865-4423-9DEB-89D30E27BE79}"/>
    <hyperlink ref="C27" r:id="rId2" xr:uid="{10CBA276-0EF4-4346-9DC6-3CF0D50DFBDF}"/>
    <hyperlink ref="C28" r:id="rId3" location="1541722263760-bed533a1-d75d" display="https://portal.sat.gob.gt/portal/requisitos-de-vehiculos/ - 1541722263760-bed533a1-d75d" xr:uid="{02BF6586-6340-4B13-8D22-3306B893CDA5}"/>
    <hyperlink ref="C29" r:id="rId4" location="1541777125986-97d04375-37ee" display="https://portal.sat.gob.gt/portal/requisitos-de-vehiculos/ - 1541777125986-97d04375-37ee" xr:uid="{B5DCD53F-AD3C-49E9-8E1D-5A2D617F4CB4}"/>
    <hyperlink ref="C30" r:id="rId5" location="1662393570133-d90819b2-32d3" display="https://portal.sat.gob.gt/portal/requisitos-de-vehiculos/ - 1662393570133-d90819b2-32d3" xr:uid="{991E88B9-0046-457F-88D0-0A955432EF87}"/>
    <hyperlink ref="C31" r:id="rId6" location="1541722264271-487e21fd-d904" display="https://portal.sat.gob.gt/portal/requisitos-de-vehiculos/ - 1541722264271-487e21fd-d904" xr:uid="{673345D4-E6E5-4BC9-BC97-D4B51C302074}"/>
    <hyperlink ref="C32" r:id="rId7" location="1541722263997-e0d7cba3-7daf" display="https://portal.sat.gob.gt/portal/requisitos-de-vehiculos/ - 1541722263997-e0d7cba3-7daf" xr:uid="{6DC3F199-4105-4CF5-8827-D9DD3D8187DC}"/>
    <hyperlink ref="C14" r:id="rId8" xr:uid="{12072626-9550-4812-A1D5-02F140CFE579}"/>
    <hyperlink ref="C10" r:id="rId9" location="capacitacion" display="https://portal.sat.gob.gt/portal/ - capacitacion" xr:uid="{C353BAC1-FB90-494E-BBD0-C48C3D663D86}"/>
    <hyperlink ref="C21" r:id="rId10" location="1652906579852-40d8e272-35bb" xr:uid="{A54FCCE5-40B7-4133-9A2E-005B26E97F74}"/>
    <hyperlink ref="C23" r:id="rId11" location="1606494573178-22f9effd-91cc" xr:uid="{0A10790B-C396-4857-BF11-C92724C6D32B}"/>
    <hyperlink ref="C20" r:id="rId12" location="1528240031207-3ce9866a-9863" xr:uid="{791E4970-3403-4652-84E6-B6720400C759}"/>
    <hyperlink ref="C19" r:id="rId13" location="1674938805376-f6c4abc5-cfda" xr:uid="{33E7DAAA-E63C-4EB9-AC84-92D35F434E01}"/>
    <hyperlink ref="C26" r:id="rId14" location="1541721863086-9194f94d-dd70" display="https://portal.sat.gob.gt/portal/requisitos-de-personas-empresas/ - 1541721863086-9194f94d-dd70" xr:uid="{1F0BC315-1ACD-4731-954D-319CD44B175A}"/>
    <hyperlink ref="C11" r:id="rId15" xr:uid="{68BD42B0-E204-486F-A603-8B70E7D607D5}"/>
    <hyperlink ref="C22" r:id="rId16" xr:uid="{5D741A80-7B77-4402-81F1-B22CCF317C01}"/>
    <hyperlink ref="C7" r:id="rId17" xr:uid="{D9959080-6505-4CD6-A325-7EA704A8EB1D}"/>
    <hyperlink ref="C13" r:id="rId18" xr:uid="{3E5910C8-44F2-42BA-940C-EE7F3AC92530}"/>
  </hyperlinks>
  <pageMargins left="0.75" right="0.75" top="1" bottom="1" header="0.5" footer="0.5"/>
  <tableParts count="1"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Resumen</vt:lpstr>
      <vt:lpstr>Calidad</vt:lpstr>
      <vt:lpstr>NIT sin Obligaciones</vt:lpstr>
      <vt:lpstr>Pequeños Contribuyentes</vt:lpstr>
      <vt:lpstr>Contribuyente General</vt:lpstr>
      <vt:lpstr>Contribuyentes Especiales</vt:lpstr>
      <vt:lpstr>Importadores y Exportadores</vt:lpstr>
      <vt:lpstr>Exentos</vt:lpstr>
      <vt:lpstr>Terceras Personas</vt:lpstr>
      <vt:lpstr>Auxiliares Función Pública</vt:lpstr>
      <vt:lpstr>Entidades del Estado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Cordon Lemus, Kevin Estuardo</dc:creator>
  <cp:keywords/>
  <dc:description/>
  <cp:lastModifiedBy>Cordon Lemus, Kevin Estuardo</cp:lastModifiedBy>
  <cp:revision/>
  <dcterms:created xsi:type="dcterms:W3CDTF">2025-03-05T17:47:23Z</dcterms:created>
  <dcterms:modified xsi:type="dcterms:W3CDTF">2026-10-05T21:03:00Z</dcterms:modified>
  <cp:category/>
  <cp:contentStatus/>
</cp:coreProperties>
</file>